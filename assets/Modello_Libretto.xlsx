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walter2025/Desktop/"/>
    </mc:Choice>
  </mc:AlternateContent>
  <xr:revisionPtr revIDLastSave="0" documentId="8_{D6FF3D2F-0D0A-A540-A8B8-672A2647C27D}" xr6:coauthVersionLast="47" xr6:coauthVersionMax="47" xr10:uidLastSave="{00000000-0000-0000-0000-000000000000}"/>
  <bookViews>
    <workbookView xWindow="0" yWindow="500" windowWidth="51200" windowHeight="26720" activeTab="2" xr2:uid="{00000000-000D-0000-FFFF-FFFF00000000}"/>
  </bookViews>
  <sheets>
    <sheet name="MODELLO PULITO" sheetId="1" r:id="rId1"/>
    <sheet name="Pag 108-109" sheetId="2" r:id="rId2"/>
    <sheet name="Pag 110-111" sheetId="3" r:id="rId3"/>
    <sheet name="Pag 112-113" sheetId="4" r:id="rId4"/>
    <sheet name="NOTE LETTUR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4" l="1"/>
  <c r="W22" i="4" s="1"/>
  <c r="T20" i="4"/>
  <c r="T22" i="4" s="1"/>
  <c r="S20" i="4"/>
  <c r="S22" i="4" s="1"/>
  <c r="R20" i="4"/>
  <c r="R22" i="4" s="1"/>
  <c r="Q20" i="4"/>
  <c r="Q22" i="4" s="1"/>
  <c r="P20" i="4"/>
  <c r="P22" i="4" s="1"/>
  <c r="O20" i="4"/>
  <c r="O22" i="4" s="1"/>
  <c r="N20" i="4"/>
  <c r="N22" i="4" s="1"/>
  <c r="M20" i="4"/>
  <c r="M22" i="4" s="1"/>
  <c r="K20" i="4"/>
  <c r="K22" i="4" s="1"/>
  <c r="J20" i="4"/>
  <c r="J22" i="4" s="1"/>
  <c r="I20" i="4"/>
  <c r="I22" i="4" s="1"/>
  <c r="H20" i="4"/>
  <c r="H22" i="4" s="1"/>
  <c r="W20" i="3"/>
  <c r="W22" i="3" s="1"/>
  <c r="T20" i="3"/>
  <c r="T22" i="3" s="1"/>
  <c r="S20" i="3"/>
  <c r="S22" i="3" s="1"/>
  <c r="R20" i="3"/>
  <c r="R22" i="3" s="1"/>
  <c r="Q20" i="3"/>
  <c r="Q22" i="3" s="1"/>
  <c r="P20" i="3"/>
  <c r="P22" i="3" s="1"/>
  <c r="O20" i="3"/>
  <c r="O22" i="3" s="1"/>
  <c r="N20" i="3"/>
  <c r="N22" i="3" s="1"/>
  <c r="M20" i="3"/>
  <c r="M22" i="3" s="1"/>
  <c r="K20" i="3"/>
  <c r="K22" i="3" s="1"/>
  <c r="J20" i="3"/>
  <c r="J22" i="3" s="1"/>
  <c r="I20" i="3"/>
  <c r="I22" i="3" s="1"/>
  <c r="H20" i="3"/>
  <c r="H22" i="3" s="1"/>
  <c r="W20" i="2"/>
  <c r="W22" i="2" s="1"/>
  <c r="T20" i="2"/>
  <c r="T22" i="2" s="1"/>
  <c r="S20" i="2"/>
  <c r="S22" i="2" s="1"/>
  <c r="R20" i="2"/>
  <c r="R22" i="2" s="1"/>
  <c r="Q20" i="2"/>
  <c r="Q22" i="2" s="1"/>
  <c r="P20" i="2"/>
  <c r="P22" i="2" s="1"/>
  <c r="O20" i="2"/>
  <c r="O22" i="2" s="1"/>
  <c r="N20" i="2"/>
  <c r="N22" i="2" s="1"/>
  <c r="M20" i="2"/>
  <c r="M22" i="2" s="1"/>
  <c r="K20" i="2"/>
  <c r="K22" i="2" s="1"/>
  <c r="J20" i="2"/>
  <c r="J22" i="2" s="1"/>
  <c r="I20" i="2"/>
  <c r="I22" i="2" s="1"/>
  <c r="H20" i="2"/>
  <c r="H22" i="2" s="1"/>
  <c r="W20" i="1"/>
  <c r="W22" i="1" s="1"/>
  <c r="T20" i="1"/>
  <c r="T22" i="1" s="1"/>
  <c r="S20" i="1"/>
  <c r="S22" i="1" s="1"/>
  <c r="R20" i="1"/>
  <c r="R22" i="1" s="1"/>
  <c r="Q20" i="1"/>
  <c r="Q22" i="1" s="1"/>
  <c r="P20" i="1"/>
  <c r="P22" i="1" s="1"/>
  <c r="O20" i="1"/>
  <c r="O22" i="1" s="1"/>
  <c r="N20" i="1"/>
  <c r="N22" i="1" s="1"/>
  <c r="M20" i="1"/>
  <c r="M22" i="1" s="1"/>
  <c r="K20" i="1"/>
  <c r="K22" i="1" s="1"/>
  <c r="J20" i="1"/>
  <c r="J22" i="1" s="1"/>
  <c r="I20" i="1"/>
  <c r="I22" i="1" s="1"/>
  <c r="H20" i="1"/>
  <c r="H22" i="1" s="1"/>
</calcChain>
</file>

<file path=xl/sharedStrings.xml><?xml version="1.0" encoding="utf-8"?>
<sst xmlns="http://schemas.openxmlformats.org/spreadsheetml/2006/main" count="560" uniqueCount="84">
  <si>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</si>
  <si>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</si>
  <si>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</si>
  <si>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</si>
  <si>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</si>
  <si>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</si>
  <si>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</si>
  <si>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</si>
  <si>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</si>
  <si>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</si>
  <si>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</si>
  <si>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</si>
  <si>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DATE
(dd/mm/yy)</t>
  </si>
  <si>
    <t>DEPARTURE</t>
  </si>
  <si>
    <t>ARRIVAL</t>
  </si>
  <si>
    <t>AIRCRAFT</t>
  </si>
  <si>
    <t>SINGLE PILOT
TIME</t>
  </si>
  <si>
    <t>MULTI
PILOT
TIME</t>
  </si>
  <si>
    <t>TOTAL TIME OF
FLIGHT</t>
  </si>
  <si>
    <t>NAME PIC</t>
  </si>
  <si>
    <t>LANDINGS</t>
  </si>
  <si>
    <t>OPERATIONAL
CONDITION TIME</t>
  </si>
  <si>
    <t>PILOT FUNCTION TIME</t>
  </si>
  <si>
    <t>SYNTHETIC TRAINING
DEVICES SESSION</t>
  </si>
  <si>
    <t>REMARKS
AND ENDORSEMENTS</t>
  </si>
  <si>
    <t>PLACE</t>
  </si>
  <si>
    <t>TIME</t>
  </si>
  <si>
    <t>MAKE, MODEL,
VARIANT</t>
  </si>
  <si>
    <t>REGISTRATION</t>
  </si>
  <si>
    <t>SE</t>
  </si>
  <si>
    <t>ME</t>
  </si>
  <si>
    <t>DAY</t>
  </si>
  <si>
    <t>NIGHT</t>
  </si>
  <si>
    <t>IFR</t>
  </si>
  <si>
    <t>PILOT-IN-
COMMAND</t>
  </si>
  <si>
    <t>CO-PILOT</t>
  </si>
  <si>
    <t>DUAL</t>
  </si>
  <si>
    <t>INSTRUCTOR /
EXAMINER</t>
  </si>
  <si>
    <t>TYPE</t>
  </si>
  <si>
    <t>TOTAL TIME
OF SESSION</t>
  </si>
  <si>
    <t>TOTAL THIS PAGE</t>
  </si>
  <si>
    <t>TOTAL FROM PREVIOUS PAGES</t>
  </si>
  <si>
    <t>TOTAL TIME</t>
  </si>
  <si>
    <t>Modello modificabile: inserire tempi come hh:mm. Le righe TOTAL THIS PAGE e TOTAL TIME sono calcolate automaticamente.</t>
  </si>
  <si>
    <t>LILB</t>
  </si>
  <si>
    <t>C-175</t>
  </si>
  <si>
    <t>I-PGAP</t>
  </si>
  <si>
    <t>V</t>
  </si>
  <si>
    <t>WALTER M</t>
  </si>
  <si>
    <t>COGL</t>
  </si>
  <si>
    <t>LIDT</t>
  </si>
  <si>
    <t>RV-7</t>
  </si>
  <si>
    <t>FORMATION TRAINING</t>
  </si>
  <si>
    <t>SREZ</t>
  </si>
  <si>
    <t>LILR</t>
  </si>
  <si>
    <t>PDF - pagine libretto 108-109. Trascrizione manuale da scansione; totale manoscritto della pagina: 8:55. Verificare le celle evidenziate in giallo.</t>
  </si>
  <si>
    <t>LIMI</t>
  </si>
  <si>
    <t>LGIO</t>
  </si>
  <si>
    <t>LGTG</t>
  </si>
  <si>
    <t>AIR SHOW</t>
  </si>
  <si>
    <t>PDF - pagine libretto 110-111. Trascrizione manuale da scansione; totale manoscritto della pagina: 19:15. Verificare le celle evidenziate in giallo.</t>
  </si>
  <si>
    <t>LIBP</t>
  </si>
  <si>
    <t>LIML</t>
  </si>
  <si>
    <t>FINI LUCA</t>
  </si>
  <si>
    <t>TRAINING ESE(L) ATPL IT.FCL.461</t>
  </si>
  <si>
    <t>PDF - pagine libretto 112-113. Trascrizione manuale da scansione; totale manoscritto della pagina: non compilato. Verificare le celle evidenziate in giallo.</t>
  </si>
  <si>
    <t>NOTE SULLA RICOSTRUZIONE</t>
  </si>
  <si>
    <t>Origine</t>
  </si>
  <si>
    <t>libretto ore di volo.pdf - 3 scansioni di doppie pagine</t>
  </si>
  <si>
    <t>Struttura</t>
  </si>
  <si>
    <t>A4 orizzontale, colonne e gruppi intestazione ricostruiti in formato Excel modificabile</t>
  </si>
  <si>
    <t>Formule</t>
  </si>
  <si>
    <t>TOTAL THIS PAGE e TOTAL TIME sono formule; TOTAL FROM PREVIOUS PAGES riprende i valori manoscritti leggibili</t>
  </si>
  <si>
    <t>Tempi</t>
  </si>
  <si>
    <t>I tempi sono valori Excel reali con formato [h]:mm, quindi possono essere sommati e modificati</t>
  </si>
  <si>
    <t>Celle gialle</t>
  </si>
  <si>
    <t>Trascrizione da grafia poco nitida: controllare rispetto al PDF originale</t>
  </si>
  <si>
    <t>Scostamenti</t>
  </si>
  <si>
    <t>In alcune pagine la somma delle singole righe leggibili non coincide con il totale manoscritto; il foglio mostra il totale ricalcolato</t>
  </si>
  <si>
    <t>MOU</t>
  </si>
  <si>
    <t>Meggiana</t>
  </si>
  <si>
    <t>CHAMOIS</t>
  </si>
  <si>
    <t>MEGGIANA</t>
  </si>
  <si>
    <t>I-DAVE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</si>
</sst>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8">
    <font>
      <sz val="11"/>
      <name val="Carlito"/>
    </font>
    <font>
      <b/>
      <sz val="8"/>
      <color rgb="FF111111"/>
      <name val="Arial"/>
      <family val="2"/>
    </font>
    <font>
      <sz val="8"/>
      <color rgb="FF111111"/>
      <name val="Arial"/>
      <family val="2"/>
    </font>
    <font>
      <i/>
      <sz val="8"/>
      <color rgb="FF555555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 wrapText="1"/>
    </xf>
    <xf numFmtId="14" fontId="2" fillId="0" borderId="2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1" fillId="4" borderId="1" xfId="1" applyFont="1" applyFill="1" applyBorder="1" applyAlignment="1">
      <alignment vertical="center"/>
    </xf>
    <xf numFmtId="164" fontId="1" fillId="4" borderId="1" xfId="1" applyNumberFormat="1" applyFont="1" applyFill="1" applyBorder="1" applyAlignment="1">
      <alignment vertical="center"/>
    </xf>
    <xf numFmtId="0" fontId="1" fillId="5" borderId="1" xfId="1" applyFont="1" applyFill="1" applyBorder="1" applyAlignment="1">
      <alignment vertical="center"/>
    </xf>
    <xf numFmtId="164" fontId="1" fillId="5" borderId="1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164" fontId="1" fillId="6" borderId="1" xfId="1" applyNumberFormat="1" applyFont="1" applyFill="1" applyBorder="1" applyAlignment="1">
      <alignment vertical="center"/>
    </xf>
    <xf numFmtId="0" fontId="2" fillId="4" borderId="2" xfId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vertical="top" wrapText="1"/>
    </xf>
    <xf numFmtId="0" fontId="6" fillId="3" borderId="3" xfId="1" applyFont="1" applyFill="1" applyBorder="1" applyAlignment="1">
      <alignment vertical="top" wrapText="1"/>
    </xf>
    <xf numFmtId="0" fontId="1" fillId="2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right" vertical="center"/>
    </xf>
    <xf numFmtId="164" fontId="1" fillId="4" borderId="1" xfId="1" applyNumberFormat="1" applyFont="1" applyFill="1" applyBorder="1" applyAlignment="1">
      <alignment horizontal="right" vertical="center"/>
    </xf>
    <xf numFmtId="0" fontId="1" fillId="5" borderId="1" xfId="1" applyFont="1" applyFill="1" applyBorder="1" applyAlignment="1">
      <alignment horizontal="right" vertical="center"/>
    </xf>
    <xf numFmtId="164" fontId="1" fillId="5" borderId="1" xfId="1" applyNumberFormat="1" applyFont="1" applyFill="1" applyBorder="1" applyAlignment="1">
      <alignment horizontal="right" vertical="center"/>
    </xf>
    <xf numFmtId="0" fontId="1" fillId="6" borderId="1" xfId="1" applyFont="1" applyFill="1" applyBorder="1" applyAlignment="1">
      <alignment horizontal="right" vertical="center"/>
    </xf>
    <xf numFmtId="164" fontId="1" fillId="6" borderId="1" xfId="1" applyNumberFormat="1" applyFont="1" applyFill="1" applyBorder="1" applyAlignment="1">
      <alignment horizontal="right" vertical="center"/>
    </xf>
    <xf numFmtId="0" fontId="3" fillId="0" borderId="0" xfId="1" applyFont="1" applyAlignment="1">
      <alignment wrapText="1"/>
    </xf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4"/>
  <sheetViews>
    <sheetView showGridLines="0" workbookViewId="0"/>
  </sheetViews>
  <sheetFormatPr baseColWidth="10" defaultColWidth="8.83203125" defaultRowHeight="14"/>
  <cols>
    <col min="1" max="1" width="11" customWidth="1"/>
    <col min="2" max="2" width="10" customWidth="1"/>
    <col min="3" max="3" width="8" customWidth="1"/>
    <col min="4" max="4" width="10" customWidth="1"/>
    <col min="5" max="5" width="8" customWidth="1"/>
    <col min="6" max="6" width="13" customWidth="1"/>
    <col min="7" max="7" width="11" customWidth="1"/>
    <col min="8" max="9" width="6" customWidth="1"/>
    <col min="10" max="10" width="7" customWidth="1"/>
    <col min="11" max="11" width="9" customWidth="1"/>
    <col min="12" max="12" width="14" customWidth="1"/>
    <col min="13" max="16" width="7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24" customWidth="1"/>
  </cols>
  <sheetData>
    <row r="1" spans="1:24" ht="15" customHeight="1">
      <c r="A1" s="2" t="s">
        <v>0</v>
      </c>
      <c r="B1" s="26" t="s">
        <v>1</v>
      </c>
      <c r="C1" s="26" t="s">
        <v>1</v>
      </c>
      <c r="D1" s="26" t="s">
        <v>2</v>
      </c>
      <c r="E1" s="26" t="s">
        <v>2</v>
      </c>
      <c r="F1" s="26" t="s">
        <v>3</v>
      </c>
      <c r="G1" s="26" t="s">
        <v>3</v>
      </c>
      <c r="H1" s="26" t="s">
        <v>4</v>
      </c>
      <c r="I1" s="26" t="s">
        <v>4</v>
      </c>
      <c r="J1" s="26" t="s">
        <v>4</v>
      </c>
      <c r="K1" s="2" t="s">
        <v>5</v>
      </c>
      <c r="L1" s="2" t="s">
        <v>6</v>
      </c>
      <c r="M1" s="26" t="s">
        <v>7</v>
      </c>
      <c r="N1" s="26" t="s">
        <v>7</v>
      </c>
      <c r="O1" s="26" t="s">
        <v>8</v>
      </c>
      <c r="P1" s="26" t="s">
        <v>8</v>
      </c>
      <c r="Q1" s="26" t="s">
        <v>9</v>
      </c>
      <c r="R1" s="26" t="s">
        <v>9</v>
      </c>
      <c r="S1" s="26" t="s">
        <v>9</v>
      </c>
      <c r="T1" s="26" t="s">
        <v>9</v>
      </c>
      <c r="U1" s="26" t="s">
        <v>10</v>
      </c>
      <c r="V1" s="26" t="s">
        <v>10</v>
      </c>
      <c r="W1" s="26" t="s">
        <v>10</v>
      </c>
      <c r="X1" s="2" t="s">
        <v>11</v>
      </c>
    </row>
    <row r="2" spans="1:24" ht="30" customHeight="1">
      <c r="A2" s="17" t="s">
        <v>12</v>
      </c>
      <c r="B2" s="17" t="s">
        <v>13</v>
      </c>
      <c r="C2" s="17" t="s">
        <v>13</v>
      </c>
      <c r="D2" s="17" t="s">
        <v>14</v>
      </c>
      <c r="E2" s="17" t="s">
        <v>14</v>
      </c>
      <c r="F2" s="17" t="s">
        <v>15</v>
      </c>
      <c r="G2" s="17" t="s">
        <v>15</v>
      </c>
      <c r="H2" s="17" t="s">
        <v>16</v>
      </c>
      <c r="I2" s="17" t="s">
        <v>16</v>
      </c>
      <c r="J2" s="17" t="s">
        <v>17</v>
      </c>
      <c r="K2" s="17" t="s">
        <v>18</v>
      </c>
      <c r="L2" s="17" t="s">
        <v>19</v>
      </c>
      <c r="M2" s="17" t="s">
        <v>20</v>
      </c>
      <c r="N2" s="17" t="s">
        <v>20</v>
      </c>
      <c r="O2" s="17" t="s">
        <v>21</v>
      </c>
      <c r="P2" s="17" t="s">
        <v>21</v>
      </c>
      <c r="Q2" s="17" t="s">
        <v>22</v>
      </c>
      <c r="R2" s="17" t="s">
        <v>22</v>
      </c>
      <c r="S2" s="17" t="s">
        <v>22</v>
      </c>
      <c r="T2" s="17" t="s">
        <v>22</v>
      </c>
      <c r="U2" s="17" t="s">
        <v>23</v>
      </c>
      <c r="V2" s="17" t="s">
        <v>23</v>
      </c>
      <c r="W2" s="17" t="s">
        <v>23</v>
      </c>
      <c r="X2" s="17" t="s">
        <v>24</v>
      </c>
    </row>
    <row r="3" spans="1:24" ht="34" customHeight="1">
      <c r="A3" s="17" t="s">
        <v>12</v>
      </c>
      <c r="B3" s="1" t="s">
        <v>25</v>
      </c>
      <c r="C3" s="1" t="s">
        <v>26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7"/>
      <c r="K3" s="17"/>
      <c r="L3" s="17"/>
      <c r="M3" s="1" t="s">
        <v>31</v>
      </c>
      <c r="N3" s="1" t="s">
        <v>32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12</v>
      </c>
      <c r="V3" s="1" t="s">
        <v>38</v>
      </c>
      <c r="W3" s="1" t="s">
        <v>39</v>
      </c>
      <c r="X3" s="17"/>
    </row>
    <row r="4" spans="1:24" ht="20" customHeight="1">
      <c r="A4" s="5"/>
      <c r="B4" s="3"/>
      <c r="C4" s="6"/>
      <c r="D4" s="3"/>
      <c r="E4" s="6"/>
      <c r="F4" s="3"/>
      <c r="G4" s="3"/>
      <c r="H4" s="3"/>
      <c r="I4" s="3"/>
      <c r="J4" s="3"/>
      <c r="K4" s="6"/>
      <c r="L4" s="3"/>
      <c r="M4" s="3"/>
      <c r="N4" s="3"/>
      <c r="O4" s="6"/>
      <c r="P4" s="6"/>
      <c r="Q4" s="6"/>
      <c r="R4" s="6"/>
      <c r="S4" s="6"/>
      <c r="T4" s="6"/>
      <c r="U4" s="5"/>
      <c r="V4" s="3"/>
      <c r="W4" s="6"/>
      <c r="X4" s="4"/>
    </row>
    <row r="5" spans="1:24" ht="20" customHeight="1">
      <c r="A5" s="5"/>
      <c r="B5" s="3"/>
      <c r="C5" s="6"/>
      <c r="D5" s="3"/>
      <c r="E5" s="6"/>
      <c r="F5" s="3"/>
      <c r="G5" s="3"/>
      <c r="H5" s="3"/>
      <c r="I5" s="3"/>
      <c r="J5" s="3"/>
      <c r="K5" s="6"/>
      <c r="L5" s="3"/>
      <c r="M5" s="3"/>
      <c r="N5" s="3"/>
      <c r="O5" s="6"/>
      <c r="P5" s="6"/>
      <c r="Q5" s="6"/>
      <c r="R5" s="6"/>
      <c r="S5" s="6"/>
      <c r="T5" s="6"/>
      <c r="U5" s="5"/>
      <c r="V5" s="3"/>
      <c r="W5" s="6"/>
      <c r="X5" s="4"/>
    </row>
    <row r="6" spans="1:24" ht="20" customHeight="1">
      <c r="A6" s="5"/>
      <c r="B6" s="3"/>
      <c r="C6" s="6"/>
      <c r="D6" s="3"/>
      <c r="E6" s="6"/>
      <c r="F6" s="3"/>
      <c r="G6" s="3"/>
      <c r="H6" s="3"/>
      <c r="I6" s="3"/>
      <c r="J6" s="3"/>
      <c r="K6" s="6"/>
      <c r="L6" s="3"/>
      <c r="M6" s="3"/>
      <c r="N6" s="3"/>
      <c r="O6" s="6"/>
      <c r="P6" s="6"/>
      <c r="Q6" s="6"/>
      <c r="R6" s="6"/>
      <c r="S6" s="6"/>
      <c r="T6" s="6"/>
      <c r="U6" s="5"/>
      <c r="V6" s="3"/>
      <c r="W6" s="6"/>
      <c r="X6" s="4"/>
    </row>
    <row r="7" spans="1:24" ht="20" customHeight="1">
      <c r="A7" s="5"/>
      <c r="B7" s="3"/>
      <c r="C7" s="6"/>
      <c r="D7" s="3"/>
      <c r="E7" s="6"/>
      <c r="F7" s="3"/>
      <c r="G7" s="3"/>
      <c r="H7" s="3"/>
      <c r="I7" s="3"/>
      <c r="J7" s="3"/>
      <c r="K7" s="6"/>
      <c r="L7" s="3"/>
      <c r="M7" s="3"/>
      <c r="N7" s="3"/>
      <c r="O7" s="6"/>
      <c r="P7" s="6"/>
      <c r="Q7" s="6"/>
      <c r="R7" s="6"/>
      <c r="S7" s="6"/>
      <c r="T7" s="6"/>
      <c r="U7" s="5"/>
      <c r="V7" s="3"/>
      <c r="W7" s="6"/>
      <c r="X7" s="4"/>
    </row>
    <row r="8" spans="1:24" ht="20" customHeight="1">
      <c r="A8" s="5"/>
      <c r="B8" s="3"/>
      <c r="C8" s="6"/>
      <c r="D8" s="3"/>
      <c r="E8" s="6"/>
      <c r="F8" s="3"/>
      <c r="G8" s="3"/>
      <c r="H8" s="3"/>
      <c r="I8" s="3"/>
      <c r="J8" s="3"/>
      <c r="K8" s="6"/>
      <c r="L8" s="3"/>
      <c r="M8" s="3"/>
      <c r="N8" s="3"/>
      <c r="O8" s="6"/>
      <c r="P8" s="6"/>
      <c r="Q8" s="6"/>
      <c r="R8" s="6"/>
      <c r="S8" s="6"/>
      <c r="T8" s="6"/>
      <c r="U8" s="5"/>
      <c r="V8" s="3"/>
      <c r="W8" s="6"/>
      <c r="X8" s="4"/>
    </row>
    <row r="9" spans="1:24" ht="20" customHeight="1">
      <c r="A9" s="5"/>
      <c r="B9" s="3"/>
      <c r="C9" s="6"/>
      <c r="D9" s="3"/>
      <c r="E9" s="6"/>
      <c r="F9" s="3"/>
      <c r="G9" s="3"/>
      <c r="H9" s="3"/>
      <c r="I9" s="3"/>
      <c r="J9" s="3"/>
      <c r="K9" s="6"/>
      <c r="L9" s="3"/>
      <c r="M9" s="3"/>
      <c r="N9" s="3"/>
      <c r="O9" s="6"/>
      <c r="P9" s="6"/>
      <c r="Q9" s="6"/>
      <c r="R9" s="6"/>
      <c r="S9" s="6"/>
      <c r="T9" s="6"/>
      <c r="U9" s="5"/>
      <c r="V9" s="3"/>
      <c r="W9" s="6"/>
      <c r="X9" s="4"/>
    </row>
    <row r="10" spans="1:24" ht="20" customHeight="1">
      <c r="A10" s="5"/>
      <c r="B10" s="3"/>
      <c r="C10" s="6"/>
      <c r="D10" s="3"/>
      <c r="E10" s="6"/>
      <c r="F10" s="3"/>
      <c r="G10" s="3"/>
      <c r="H10" s="3"/>
      <c r="I10" s="3"/>
      <c r="J10" s="3"/>
      <c r="K10" s="6"/>
      <c r="L10" s="3"/>
      <c r="M10" s="3"/>
      <c r="N10" s="3"/>
      <c r="O10" s="6"/>
      <c r="P10" s="6"/>
      <c r="Q10" s="6"/>
      <c r="R10" s="6"/>
      <c r="S10" s="6"/>
      <c r="T10" s="6"/>
      <c r="U10" s="5"/>
      <c r="V10" s="3"/>
      <c r="W10" s="6"/>
      <c r="X10" s="4"/>
    </row>
    <row r="11" spans="1:24" ht="20" customHeight="1">
      <c r="A11" s="5"/>
      <c r="B11" s="3"/>
      <c r="C11" s="6"/>
      <c r="D11" s="3"/>
      <c r="E11" s="6"/>
      <c r="F11" s="3"/>
      <c r="G11" s="3"/>
      <c r="H11" s="3"/>
      <c r="I11" s="3"/>
      <c r="J11" s="3"/>
      <c r="K11" s="6"/>
      <c r="L11" s="3"/>
      <c r="M11" s="3"/>
      <c r="N11" s="3"/>
      <c r="O11" s="6"/>
      <c r="P11" s="6"/>
      <c r="Q11" s="6"/>
      <c r="R11" s="6"/>
      <c r="S11" s="6"/>
      <c r="T11" s="6"/>
      <c r="U11" s="5"/>
      <c r="V11" s="3"/>
      <c r="W11" s="6"/>
      <c r="X11" s="4"/>
    </row>
    <row r="12" spans="1:24" ht="20" customHeight="1">
      <c r="A12" s="5"/>
      <c r="B12" s="3"/>
      <c r="C12" s="6"/>
      <c r="D12" s="3"/>
      <c r="E12" s="6"/>
      <c r="F12" s="3"/>
      <c r="G12" s="3"/>
      <c r="H12" s="3"/>
      <c r="I12" s="3"/>
      <c r="J12" s="3"/>
      <c r="K12" s="6"/>
      <c r="L12" s="3"/>
      <c r="M12" s="3"/>
      <c r="N12" s="3"/>
      <c r="O12" s="6"/>
      <c r="P12" s="6"/>
      <c r="Q12" s="6"/>
      <c r="R12" s="6"/>
      <c r="S12" s="6"/>
      <c r="T12" s="6"/>
      <c r="U12" s="5"/>
      <c r="V12" s="3"/>
      <c r="W12" s="6"/>
      <c r="X12" s="4"/>
    </row>
    <row r="13" spans="1:24" ht="20" customHeight="1">
      <c r="A13" s="5"/>
      <c r="B13" s="3"/>
      <c r="C13" s="6"/>
      <c r="D13" s="3"/>
      <c r="E13" s="6"/>
      <c r="F13" s="3"/>
      <c r="G13" s="3"/>
      <c r="H13" s="3"/>
      <c r="I13" s="3"/>
      <c r="J13" s="3"/>
      <c r="K13" s="6"/>
      <c r="L13" s="3"/>
      <c r="M13" s="3"/>
      <c r="N13" s="3"/>
      <c r="O13" s="6"/>
      <c r="P13" s="6"/>
      <c r="Q13" s="6"/>
      <c r="R13" s="6"/>
      <c r="S13" s="6"/>
      <c r="T13" s="6"/>
      <c r="U13" s="5"/>
      <c r="V13" s="3"/>
      <c r="W13" s="6"/>
      <c r="X13" s="4"/>
    </row>
    <row r="14" spans="1:24" ht="20" customHeight="1">
      <c r="A14" s="5"/>
      <c r="B14" s="3"/>
      <c r="C14" s="6"/>
      <c r="D14" s="3"/>
      <c r="E14" s="6"/>
      <c r="F14" s="3"/>
      <c r="G14" s="3"/>
      <c r="H14" s="3"/>
      <c r="I14" s="3"/>
      <c r="J14" s="3"/>
      <c r="K14" s="6"/>
      <c r="L14" s="3"/>
      <c r="M14" s="3"/>
      <c r="N14" s="3"/>
      <c r="O14" s="6"/>
      <c r="P14" s="6"/>
      <c r="Q14" s="6"/>
      <c r="R14" s="6"/>
      <c r="S14" s="6"/>
      <c r="T14" s="6"/>
      <c r="U14" s="5"/>
      <c r="V14" s="3"/>
      <c r="W14" s="6"/>
      <c r="X14" s="4"/>
    </row>
    <row r="15" spans="1:24" ht="20" customHeight="1">
      <c r="A15" s="5"/>
      <c r="B15" s="3"/>
      <c r="C15" s="6"/>
      <c r="D15" s="3"/>
      <c r="E15" s="6"/>
      <c r="F15" s="3"/>
      <c r="G15" s="3"/>
      <c r="H15" s="3"/>
      <c r="I15" s="3"/>
      <c r="J15" s="3"/>
      <c r="K15" s="6"/>
      <c r="L15" s="3"/>
      <c r="M15" s="3"/>
      <c r="N15" s="3"/>
      <c r="O15" s="6"/>
      <c r="P15" s="6"/>
      <c r="Q15" s="6"/>
      <c r="R15" s="6"/>
      <c r="S15" s="6"/>
      <c r="T15" s="6"/>
      <c r="U15" s="5"/>
      <c r="V15" s="3"/>
      <c r="W15" s="6"/>
      <c r="X15" s="4"/>
    </row>
    <row r="16" spans="1:24" ht="20" customHeight="1">
      <c r="A16" s="5"/>
      <c r="B16" s="3"/>
      <c r="C16" s="6"/>
      <c r="D16" s="3"/>
      <c r="E16" s="6"/>
      <c r="F16" s="3"/>
      <c r="G16" s="3"/>
      <c r="H16" s="3"/>
      <c r="I16" s="3"/>
      <c r="J16" s="3"/>
      <c r="K16" s="6"/>
      <c r="L16" s="3"/>
      <c r="M16" s="3"/>
      <c r="N16" s="3"/>
      <c r="O16" s="6"/>
      <c r="P16" s="6"/>
      <c r="Q16" s="6"/>
      <c r="R16" s="6"/>
      <c r="S16" s="6"/>
      <c r="T16" s="6"/>
      <c r="U16" s="5"/>
      <c r="V16" s="3"/>
      <c r="W16" s="6"/>
      <c r="X16" s="4"/>
    </row>
    <row r="17" spans="1:24" ht="20" customHeight="1">
      <c r="A17" s="5"/>
      <c r="B17" s="3"/>
      <c r="C17" s="6"/>
      <c r="D17" s="3"/>
      <c r="E17" s="6"/>
      <c r="F17" s="3"/>
      <c r="G17" s="3"/>
      <c r="H17" s="3"/>
      <c r="I17" s="3"/>
      <c r="J17" s="3"/>
      <c r="K17" s="6"/>
      <c r="L17" s="3"/>
      <c r="M17" s="3"/>
      <c r="N17" s="3"/>
      <c r="O17" s="6"/>
      <c r="P17" s="6"/>
      <c r="Q17" s="6"/>
      <c r="R17" s="6"/>
      <c r="S17" s="6"/>
      <c r="T17" s="6"/>
      <c r="U17" s="5"/>
      <c r="V17" s="3"/>
      <c r="W17" s="6"/>
      <c r="X17" s="4"/>
    </row>
    <row r="18" spans="1:24" ht="20" customHeight="1">
      <c r="A18" s="5"/>
      <c r="B18" s="3"/>
      <c r="C18" s="6"/>
      <c r="D18" s="3"/>
      <c r="E18" s="6"/>
      <c r="F18" s="3"/>
      <c r="G18" s="3"/>
      <c r="H18" s="3"/>
      <c r="I18" s="3"/>
      <c r="J18" s="3"/>
      <c r="K18" s="6"/>
      <c r="L18" s="3"/>
      <c r="M18" s="3"/>
      <c r="N18" s="3"/>
      <c r="O18" s="6"/>
      <c r="P18" s="6"/>
      <c r="Q18" s="6"/>
      <c r="R18" s="6"/>
      <c r="S18" s="6"/>
      <c r="T18" s="6"/>
      <c r="U18" s="5"/>
      <c r="V18" s="3"/>
      <c r="W18" s="6"/>
      <c r="X18" s="4"/>
    </row>
    <row r="19" spans="1:24" ht="20" customHeight="1">
      <c r="A19" s="5"/>
      <c r="B19" s="3"/>
      <c r="C19" s="6"/>
      <c r="D19" s="3"/>
      <c r="E19" s="6"/>
      <c r="F19" s="3"/>
      <c r="G19" s="3"/>
      <c r="H19" s="3"/>
      <c r="I19" s="3"/>
      <c r="J19" s="3"/>
      <c r="K19" s="6"/>
      <c r="L19" s="3"/>
      <c r="M19" s="3"/>
      <c r="N19" s="3"/>
      <c r="O19" s="6"/>
      <c r="P19" s="6"/>
      <c r="Q19" s="6"/>
      <c r="R19" s="6"/>
      <c r="S19" s="6"/>
      <c r="T19" s="6"/>
      <c r="U19" s="5"/>
      <c r="V19" s="3"/>
      <c r="W19" s="6"/>
      <c r="X19" s="4"/>
    </row>
    <row r="20" spans="1:24" ht="25" customHeight="1">
      <c r="A20" s="18" t="s">
        <v>40</v>
      </c>
      <c r="B20" s="18"/>
      <c r="C20" s="19"/>
      <c r="D20" s="18"/>
      <c r="E20" s="19"/>
      <c r="F20" s="18"/>
      <c r="G20" s="18"/>
      <c r="H20" s="7">
        <f>SUM(H4:H19)</f>
        <v>0</v>
      </c>
      <c r="I20" s="7">
        <f>SUM(I4:I19)</f>
        <v>0</v>
      </c>
      <c r="J20" s="7">
        <f>SUM(J4:J19)</f>
        <v>0</v>
      </c>
      <c r="K20" s="8">
        <f>SUM(K4:K19)</f>
        <v>0</v>
      </c>
      <c r="L20" s="7"/>
      <c r="M20" s="7">
        <f t="shared" ref="M20:T20" si="0">SUM(M4:M19)</f>
        <v>0</v>
      </c>
      <c r="N20" s="7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8">
        <f t="shared" si="0"/>
        <v>0</v>
      </c>
      <c r="T20" s="8">
        <f t="shared" si="0"/>
        <v>0</v>
      </c>
      <c r="U20" s="7"/>
      <c r="V20" s="7"/>
      <c r="W20" s="8">
        <f>SUM(W4:W19)</f>
        <v>0</v>
      </c>
      <c r="X20" s="7"/>
    </row>
    <row r="21" spans="1:24" ht="25" customHeight="1">
      <c r="A21" s="20" t="s">
        <v>41</v>
      </c>
      <c r="B21" s="20"/>
      <c r="C21" s="21"/>
      <c r="D21" s="20"/>
      <c r="E21" s="21"/>
      <c r="F21" s="20"/>
      <c r="G21" s="20"/>
      <c r="H21" s="9">
        <v>0</v>
      </c>
      <c r="I21" s="9">
        <v>0</v>
      </c>
      <c r="J21" s="9">
        <v>0</v>
      </c>
      <c r="K21" s="10">
        <v>0</v>
      </c>
      <c r="L21" s="9"/>
      <c r="M21" s="9">
        <v>0</v>
      </c>
      <c r="N21" s="9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9"/>
      <c r="V21" s="9"/>
      <c r="W21" s="10">
        <v>0</v>
      </c>
      <c r="X21" s="9"/>
    </row>
    <row r="22" spans="1:24" ht="25" customHeight="1">
      <c r="A22" s="22" t="s">
        <v>42</v>
      </c>
      <c r="B22" s="22"/>
      <c r="C22" s="23"/>
      <c r="D22" s="22"/>
      <c r="E22" s="23"/>
      <c r="F22" s="22"/>
      <c r="G22" s="22"/>
      <c r="H22" s="11">
        <f>H20+H21</f>
        <v>0</v>
      </c>
      <c r="I22" s="11">
        <f>I20+I21</f>
        <v>0</v>
      </c>
      <c r="J22" s="11">
        <f>J20+J21</f>
        <v>0</v>
      </c>
      <c r="K22" s="12">
        <f>K20+K21</f>
        <v>0</v>
      </c>
      <c r="L22" s="11"/>
      <c r="M22" s="11">
        <f t="shared" ref="M22:T22" si="1">M20+M21</f>
        <v>0</v>
      </c>
      <c r="N22" s="11">
        <f t="shared" si="1"/>
        <v>0</v>
      </c>
      <c r="O22" s="12">
        <f t="shared" si="1"/>
        <v>0</v>
      </c>
      <c r="P22" s="12">
        <f t="shared" si="1"/>
        <v>0</v>
      </c>
      <c r="Q22" s="12">
        <f t="shared" si="1"/>
        <v>0</v>
      </c>
      <c r="R22" s="12">
        <f t="shared" si="1"/>
        <v>0</v>
      </c>
      <c r="S22" s="12">
        <f t="shared" si="1"/>
        <v>0</v>
      </c>
      <c r="T22" s="12">
        <f t="shared" si="1"/>
        <v>0</v>
      </c>
      <c r="U22" s="11"/>
      <c r="V22" s="11"/>
      <c r="W22" s="12">
        <f>W20+W21</f>
        <v>0</v>
      </c>
      <c r="X22" s="11"/>
    </row>
    <row r="24" spans="1:24">
      <c r="A24" s="24" t="s">
        <v>43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</sheetData>
  <mergeCells count="25">
    <mergeCell ref="D1:E1"/>
    <mergeCell ref="F1:G1"/>
    <mergeCell ref="H1:J1"/>
    <mergeCell ref="M1:N1"/>
    <mergeCell ref="O1:P1"/>
    <mergeCell ref="Q1:T1"/>
    <mergeCell ref="U1:W1"/>
    <mergeCell ref="A2:A3"/>
    <mergeCell ref="B2:C2"/>
    <mergeCell ref="D2:E2"/>
    <mergeCell ref="F2:G2"/>
    <mergeCell ref="H2:I2"/>
    <mergeCell ref="J2:J3"/>
    <mergeCell ref="K2:K3"/>
    <mergeCell ref="L2:L3"/>
    <mergeCell ref="M2:N2"/>
    <mergeCell ref="O2:P2"/>
    <mergeCell ref="Q2:T2"/>
    <mergeCell ref="U2:W2"/>
    <mergeCell ref="B1:C1"/>
    <mergeCell ref="X2:X3"/>
    <mergeCell ref="A20:G20"/>
    <mergeCell ref="A21:G21"/>
    <mergeCell ref="A22:G22"/>
    <mergeCell ref="A24:X24"/>
  </mergeCells>
  <pageMargins left="0.25" right="0.25" top="0.35" bottom="0.35" header="0.15" footer="0.1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4"/>
  <sheetViews>
    <sheetView showGridLines="0" zoomScale="130" zoomScaleNormal="130" workbookViewId="0">
      <selection activeCell="G15" sqref="G15"/>
    </sheetView>
  </sheetViews>
  <sheetFormatPr baseColWidth="10" defaultColWidth="8.83203125" defaultRowHeight="14"/>
  <cols>
    <col min="1" max="1" width="11" customWidth="1"/>
    <col min="2" max="2" width="10" customWidth="1"/>
    <col min="3" max="3" width="8" customWidth="1"/>
    <col min="4" max="4" width="10" customWidth="1"/>
    <col min="5" max="5" width="8" customWidth="1"/>
    <col min="6" max="6" width="13" customWidth="1"/>
    <col min="7" max="7" width="11" customWidth="1"/>
    <col min="8" max="9" width="6" customWidth="1"/>
    <col min="10" max="10" width="7" customWidth="1"/>
    <col min="11" max="11" width="9" customWidth="1"/>
    <col min="12" max="12" width="14" customWidth="1"/>
    <col min="13" max="16" width="7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24" customWidth="1"/>
  </cols>
  <sheetData>
    <row r="1" spans="1:24" ht="15" customHeight="1">
      <c r="A1" s="2" t="s">
        <v>0</v>
      </c>
      <c r="B1" s="26" t="s">
        <v>1</v>
      </c>
      <c r="C1" s="26" t="s">
        <v>1</v>
      </c>
      <c r="D1" s="26" t="s">
        <v>2</v>
      </c>
      <c r="E1" s="26" t="s">
        <v>2</v>
      </c>
      <c r="F1" s="26" t="s">
        <v>3</v>
      </c>
      <c r="G1" s="26" t="s">
        <v>3</v>
      </c>
      <c r="H1" s="26" t="s">
        <v>4</v>
      </c>
      <c r="I1" s="26" t="s">
        <v>4</v>
      </c>
      <c r="J1" s="26" t="s">
        <v>4</v>
      </c>
      <c r="K1" s="2" t="s">
        <v>5</v>
      </c>
      <c r="L1" s="2" t="s">
        <v>6</v>
      </c>
      <c r="M1" s="26" t="s">
        <v>7</v>
      </c>
      <c r="N1" s="26" t="s">
        <v>7</v>
      </c>
      <c r="O1" s="26" t="s">
        <v>8</v>
      </c>
      <c r="P1" s="26" t="s">
        <v>8</v>
      </c>
      <c r="Q1" s="26" t="s">
        <v>9</v>
      </c>
      <c r="R1" s="26" t="s">
        <v>9</v>
      </c>
      <c r="S1" s="26" t="s">
        <v>9</v>
      </c>
      <c r="T1" s="26" t="s">
        <v>9</v>
      </c>
      <c r="U1" s="26" t="s">
        <v>10</v>
      </c>
      <c r="V1" s="26" t="s">
        <v>10</v>
      </c>
      <c r="W1" s="26" t="s">
        <v>10</v>
      </c>
      <c r="X1" s="2" t="s">
        <v>11</v>
      </c>
    </row>
    <row r="2" spans="1:24" ht="30" customHeight="1">
      <c r="A2" s="17" t="s">
        <v>12</v>
      </c>
      <c r="B2" s="17" t="s">
        <v>13</v>
      </c>
      <c r="C2" s="17" t="s">
        <v>13</v>
      </c>
      <c r="D2" s="17" t="s">
        <v>14</v>
      </c>
      <c r="E2" s="17" t="s">
        <v>14</v>
      </c>
      <c r="F2" s="17" t="s">
        <v>15</v>
      </c>
      <c r="G2" s="17" t="s">
        <v>15</v>
      </c>
      <c r="H2" s="17" t="s">
        <v>16</v>
      </c>
      <c r="I2" s="17" t="s">
        <v>16</v>
      </c>
      <c r="J2" s="17" t="s">
        <v>17</v>
      </c>
      <c r="K2" s="17" t="s">
        <v>18</v>
      </c>
      <c r="L2" s="17" t="s">
        <v>19</v>
      </c>
      <c r="M2" s="17" t="s">
        <v>20</v>
      </c>
      <c r="N2" s="17" t="s">
        <v>20</v>
      </c>
      <c r="O2" s="17" t="s">
        <v>21</v>
      </c>
      <c r="P2" s="17" t="s">
        <v>21</v>
      </c>
      <c r="Q2" s="17" t="s">
        <v>22</v>
      </c>
      <c r="R2" s="17" t="s">
        <v>22</v>
      </c>
      <c r="S2" s="17" t="s">
        <v>22</v>
      </c>
      <c r="T2" s="17" t="s">
        <v>22</v>
      </c>
      <c r="U2" s="17" t="s">
        <v>23</v>
      </c>
      <c r="V2" s="17" t="s">
        <v>23</v>
      </c>
      <c r="W2" s="17" t="s">
        <v>23</v>
      </c>
      <c r="X2" s="17" t="s">
        <v>24</v>
      </c>
    </row>
    <row r="3" spans="1:24" ht="34" customHeight="1">
      <c r="A3" s="17" t="s">
        <v>12</v>
      </c>
      <c r="B3" s="1" t="s">
        <v>25</v>
      </c>
      <c r="C3" s="1" t="s">
        <v>26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7"/>
      <c r="K3" s="17"/>
      <c r="L3" s="17"/>
      <c r="M3" s="1" t="s">
        <v>31</v>
      </c>
      <c r="N3" s="1" t="s">
        <v>32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12</v>
      </c>
      <c r="V3" s="1" t="s">
        <v>38</v>
      </c>
      <c r="W3" s="1" t="s">
        <v>39</v>
      </c>
      <c r="X3" s="17"/>
    </row>
    <row r="4" spans="1:24" ht="20" customHeight="1">
      <c r="A4" s="5">
        <v>44937</v>
      </c>
      <c r="B4" s="3" t="s">
        <v>44</v>
      </c>
      <c r="C4" s="6">
        <v>0.3576388888888889</v>
      </c>
      <c r="D4" s="3" t="s">
        <v>80</v>
      </c>
      <c r="E4" s="6">
        <v>0.3923611111111111</v>
      </c>
      <c r="F4" s="3" t="s">
        <v>45</v>
      </c>
      <c r="G4" s="3" t="s">
        <v>46</v>
      </c>
      <c r="H4" s="3" t="s">
        <v>47</v>
      </c>
      <c r="I4" s="3">
        <v>0</v>
      </c>
      <c r="J4" s="3">
        <v>0</v>
      </c>
      <c r="K4" s="6">
        <v>3.4722222222222224E-2</v>
      </c>
      <c r="L4" s="3" t="s">
        <v>48</v>
      </c>
      <c r="M4" s="3">
        <v>3</v>
      </c>
      <c r="N4" s="3">
        <v>0</v>
      </c>
      <c r="O4" s="6">
        <v>0</v>
      </c>
      <c r="P4" s="6">
        <v>0</v>
      </c>
      <c r="Q4" s="6">
        <v>3.4722222222222224E-2</v>
      </c>
      <c r="R4" s="6">
        <v>0</v>
      </c>
      <c r="S4" s="6">
        <v>0</v>
      </c>
      <c r="T4" s="6">
        <v>0</v>
      </c>
      <c r="U4" s="5"/>
      <c r="V4" s="3"/>
      <c r="W4" s="6">
        <v>0</v>
      </c>
      <c r="X4" s="4" t="s">
        <v>79</v>
      </c>
    </row>
    <row r="5" spans="1:24" ht="20" customHeight="1">
      <c r="A5" s="5">
        <v>44937</v>
      </c>
      <c r="B5" s="3" t="s">
        <v>80</v>
      </c>
      <c r="C5" s="6">
        <v>0.4236111111111111</v>
      </c>
      <c r="D5" s="3" t="s">
        <v>80</v>
      </c>
      <c r="E5" s="6">
        <v>0.4513888888888889</v>
      </c>
      <c r="F5" s="3" t="s">
        <v>45</v>
      </c>
      <c r="G5" s="3" t="s">
        <v>46</v>
      </c>
      <c r="H5" s="3" t="s">
        <v>47</v>
      </c>
      <c r="I5" s="3">
        <v>0</v>
      </c>
      <c r="J5" s="3">
        <v>0</v>
      </c>
      <c r="K5" s="6">
        <v>2.7777777777777776E-2</v>
      </c>
      <c r="L5" s="3" t="s">
        <v>48</v>
      </c>
      <c r="M5" s="3">
        <v>5</v>
      </c>
      <c r="N5" s="3">
        <v>0</v>
      </c>
      <c r="O5" s="6">
        <v>0</v>
      </c>
      <c r="P5" s="6">
        <v>0</v>
      </c>
      <c r="Q5" s="6">
        <v>2.7777777777777776E-2</v>
      </c>
      <c r="R5" s="6">
        <v>0</v>
      </c>
      <c r="S5" s="6">
        <v>0</v>
      </c>
      <c r="T5" s="6">
        <v>0</v>
      </c>
      <c r="U5" s="5"/>
      <c r="V5" s="3"/>
      <c r="W5" s="6">
        <v>0</v>
      </c>
      <c r="X5" s="4" t="s">
        <v>79</v>
      </c>
    </row>
    <row r="6" spans="1:24" ht="20" customHeight="1">
      <c r="A6" s="5">
        <v>44937</v>
      </c>
      <c r="B6" s="3" t="s">
        <v>80</v>
      </c>
      <c r="C6" s="6">
        <v>0.5625</v>
      </c>
      <c r="D6" s="3" t="s">
        <v>44</v>
      </c>
      <c r="E6" s="6">
        <v>0.60069444444444442</v>
      </c>
      <c r="F6" s="3" t="s">
        <v>45</v>
      </c>
      <c r="G6" s="3" t="s">
        <v>46</v>
      </c>
      <c r="H6" s="3" t="s">
        <v>47</v>
      </c>
      <c r="I6" s="3">
        <v>0</v>
      </c>
      <c r="J6" s="3">
        <v>0</v>
      </c>
      <c r="K6" s="6">
        <v>3.8194444444444448E-2</v>
      </c>
      <c r="L6" s="3" t="s">
        <v>48</v>
      </c>
      <c r="M6" s="3">
        <v>1</v>
      </c>
      <c r="N6" s="3">
        <v>0</v>
      </c>
      <c r="O6" s="6">
        <v>0</v>
      </c>
      <c r="P6" s="6">
        <v>0</v>
      </c>
      <c r="Q6" s="6">
        <v>3.8194444444444448E-2</v>
      </c>
      <c r="R6" s="6">
        <v>0</v>
      </c>
      <c r="S6" s="6">
        <v>0</v>
      </c>
      <c r="T6" s="6">
        <v>0</v>
      </c>
      <c r="U6" s="5"/>
      <c r="V6" s="3"/>
      <c r="W6" s="6">
        <v>0</v>
      </c>
      <c r="X6" s="4"/>
    </row>
    <row r="7" spans="1:24" ht="20" customHeight="1">
      <c r="A7" s="5">
        <v>44996</v>
      </c>
      <c r="B7" s="3" t="s">
        <v>49</v>
      </c>
      <c r="C7" s="6">
        <v>0.4375</v>
      </c>
      <c r="D7" s="3" t="s">
        <v>50</v>
      </c>
      <c r="E7" s="6">
        <v>0.46875</v>
      </c>
      <c r="F7" s="3" t="s">
        <v>51</v>
      </c>
      <c r="G7" s="3" t="s">
        <v>83</v>
      </c>
      <c r="H7" s="3" t="s">
        <v>47</v>
      </c>
      <c r="I7" s="3">
        <v>0</v>
      </c>
      <c r="J7" s="3">
        <v>0</v>
      </c>
      <c r="K7" s="6">
        <v>3.125E-2</v>
      </c>
      <c r="L7" s="3" t="s">
        <v>48</v>
      </c>
      <c r="M7" s="3">
        <v>1</v>
      </c>
      <c r="N7" s="3">
        <v>0</v>
      </c>
      <c r="O7" s="6">
        <v>0</v>
      </c>
      <c r="P7" s="6">
        <v>0</v>
      </c>
      <c r="Q7" s="6">
        <v>3.125E-2</v>
      </c>
      <c r="R7" s="6">
        <v>0</v>
      </c>
      <c r="S7" s="6">
        <v>0</v>
      </c>
      <c r="T7" s="6">
        <v>0</v>
      </c>
      <c r="U7" s="5"/>
      <c r="V7" s="3"/>
      <c r="W7" s="6">
        <v>0</v>
      </c>
      <c r="X7" s="4" t="s">
        <v>52</v>
      </c>
    </row>
    <row r="8" spans="1:24" ht="20" customHeight="1">
      <c r="A8" s="5">
        <v>44996</v>
      </c>
      <c r="B8" s="3" t="s">
        <v>50</v>
      </c>
      <c r="C8" s="6">
        <v>0.47916666666666669</v>
      </c>
      <c r="D8" s="3" t="s">
        <v>50</v>
      </c>
      <c r="E8" s="6">
        <v>0.49652777777777779</v>
      </c>
      <c r="F8" s="3" t="s">
        <v>51</v>
      </c>
      <c r="G8" s="3" t="s">
        <v>83</v>
      </c>
      <c r="H8" s="3" t="s">
        <v>47</v>
      </c>
      <c r="I8" s="3">
        <v>0</v>
      </c>
      <c r="J8" s="3">
        <v>0</v>
      </c>
      <c r="K8" s="6">
        <v>1.7361111111111112E-2</v>
      </c>
      <c r="L8" s="3" t="s">
        <v>48</v>
      </c>
      <c r="M8" s="3">
        <v>1</v>
      </c>
      <c r="N8" s="3">
        <v>0</v>
      </c>
      <c r="O8" s="6">
        <v>0</v>
      </c>
      <c r="P8" s="6">
        <v>0</v>
      </c>
      <c r="Q8" s="6">
        <v>1.7361111111111112E-2</v>
      </c>
      <c r="R8" s="6">
        <v>0</v>
      </c>
      <c r="S8" s="6">
        <v>0</v>
      </c>
      <c r="T8" s="6">
        <v>0</v>
      </c>
      <c r="U8" s="5"/>
      <c r="V8" s="3"/>
      <c r="W8" s="6">
        <v>0</v>
      </c>
      <c r="X8" s="4" t="s">
        <v>52</v>
      </c>
    </row>
    <row r="9" spans="1:24" ht="20" customHeight="1">
      <c r="A9" s="5">
        <v>44996</v>
      </c>
      <c r="B9" s="3" t="s">
        <v>50</v>
      </c>
      <c r="C9" s="6">
        <v>0.51041666666666663</v>
      </c>
      <c r="D9" s="3" t="s">
        <v>50</v>
      </c>
      <c r="E9" s="6">
        <v>0.53125</v>
      </c>
      <c r="F9" s="3" t="s">
        <v>51</v>
      </c>
      <c r="G9" s="3" t="s">
        <v>83</v>
      </c>
      <c r="H9" s="3" t="s">
        <v>47</v>
      </c>
      <c r="I9" s="3">
        <v>0</v>
      </c>
      <c r="J9" s="3">
        <v>0</v>
      </c>
      <c r="K9" s="6">
        <v>2.0833333333333332E-2</v>
      </c>
      <c r="L9" s="3" t="s">
        <v>48</v>
      </c>
      <c r="M9" s="3">
        <v>1</v>
      </c>
      <c r="N9" s="3">
        <v>0</v>
      </c>
      <c r="O9" s="6">
        <v>0</v>
      </c>
      <c r="P9" s="6">
        <v>0</v>
      </c>
      <c r="Q9" s="6">
        <v>2.0833333333333332E-2</v>
      </c>
      <c r="R9" s="6">
        <v>0</v>
      </c>
      <c r="S9" s="6">
        <v>0</v>
      </c>
      <c r="T9" s="6">
        <v>0</v>
      </c>
      <c r="U9" s="5"/>
      <c r="V9" s="3"/>
      <c r="W9" s="6">
        <v>0</v>
      </c>
      <c r="X9" s="4" t="s">
        <v>52</v>
      </c>
    </row>
    <row r="10" spans="1:24" ht="20" customHeight="1">
      <c r="A10" s="5">
        <v>44996</v>
      </c>
      <c r="B10" s="3" t="s">
        <v>50</v>
      </c>
      <c r="C10" s="6">
        <v>0.75</v>
      </c>
      <c r="D10" s="3" t="s">
        <v>50</v>
      </c>
      <c r="E10" s="6">
        <v>0.76736111111111116</v>
      </c>
      <c r="F10" s="3" t="s">
        <v>51</v>
      </c>
      <c r="G10" s="3" t="s">
        <v>83</v>
      </c>
      <c r="H10" s="3" t="s">
        <v>47</v>
      </c>
      <c r="I10" s="3">
        <v>0</v>
      </c>
      <c r="J10" s="3">
        <v>0</v>
      </c>
      <c r="K10" s="6">
        <v>1.7361111111111112E-2</v>
      </c>
      <c r="L10" s="3" t="s">
        <v>48</v>
      </c>
      <c r="M10" s="3">
        <v>1</v>
      </c>
      <c r="N10" s="3">
        <v>0</v>
      </c>
      <c r="O10" s="6">
        <v>0</v>
      </c>
      <c r="P10" s="6">
        <v>0</v>
      </c>
      <c r="Q10" s="6">
        <v>1.7361111111111112E-2</v>
      </c>
      <c r="R10" s="6">
        <v>0</v>
      </c>
      <c r="S10" s="6">
        <v>0</v>
      </c>
      <c r="T10" s="6">
        <v>0</v>
      </c>
      <c r="U10" s="5"/>
      <c r="V10" s="3"/>
      <c r="W10" s="6">
        <v>0</v>
      </c>
      <c r="X10" s="4" t="s">
        <v>52</v>
      </c>
    </row>
    <row r="11" spans="1:24" ht="20" customHeight="1">
      <c r="A11" s="5">
        <v>44997</v>
      </c>
      <c r="B11" s="3" t="s">
        <v>50</v>
      </c>
      <c r="C11" s="6">
        <v>0.67708333333333337</v>
      </c>
      <c r="D11" s="3" t="s">
        <v>49</v>
      </c>
      <c r="E11" s="6">
        <v>0.76736111111111116</v>
      </c>
      <c r="F11" s="3" t="s">
        <v>51</v>
      </c>
      <c r="G11" s="3" t="s">
        <v>83</v>
      </c>
      <c r="H11" s="3" t="s">
        <v>47</v>
      </c>
      <c r="I11" s="3">
        <v>0</v>
      </c>
      <c r="J11" s="3">
        <v>0</v>
      </c>
      <c r="K11" s="6">
        <v>9.0277777777777776E-2</v>
      </c>
      <c r="L11" s="3" t="s">
        <v>48</v>
      </c>
      <c r="M11" s="3">
        <v>1</v>
      </c>
      <c r="N11" s="3">
        <v>0</v>
      </c>
      <c r="O11" s="6">
        <v>0</v>
      </c>
      <c r="P11" s="6">
        <v>0</v>
      </c>
      <c r="Q11" s="6">
        <v>9.0277777777777776E-2</v>
      </c>
      <c r="R11" s="6">
        <v>0</v>
      </c>
      <c r="S11" s="6">
        <v>0</v>
      </c>
      <c r="T11" s="6">
        <v>0</v>
      </c>
      <c r="U11" s="5"/>
      <c r="V11" s="3"/>
      <c r="W11" s="6">
        <v>0</v>
      </c>
      <c r="X11" s="4" t="s">
        <v>52</v>
      </c>
    </row>
    <row r="12" spans="1:24" ht="20" customHeight="1">
      <c r="A12" s="5">
        <v>45010</v>
      </c>
      <c r="B12" s="3" t="s">
        <v>49</v>
      </c>
      <c r="C12" s="6">
        <v>0.44444444444444442</v>
      </c>
      <c r="D12" s="3" t="s">
        <v>53</v>
      </c>
      <c r="E12" s="6">
        <v>0.47916666666666669</v>
      </c>
      <c r="F12" s="3" t="s">
        <v>51</v>
      </c>
      <c r="G12" s="3" t="s">
        <v>83</v>
      </c>
      <c r="H12" s="3" t="s">
        <v>47</v>
      </c>
      <c r="I12" s="3">
        <v>0</v>
      </c>
      <c r="J12" s="3">
        <v>0</v>
      </c>
      <c r="K12" s="6">
        <v>3.4722222222222224E-2</v>
      </c>
      <c r="L12" s="3" t="s">
        <v>48</v>
      </c>
      <c r="M12" s="3">
        <v>1</v>
      </c>
      <c r="N12" s="3">
        <v>0</v>
      </c>
      <c r="O12" s="6">
        <v>0</v>
      </c>
      <c r="P12" s="6">
        <v>0</v>
      </c>
      <c r="Q12" s="6">
        <v>3.4722222222222224E-2</v>
      </c>
      <c r="R12" s="6">
        <v>0</v>
      </c>
      <c r="S12" s="6">
        <v>0</v>
      </c>
      <c r="T12" s="6">
        <v>0</v>
      </c>
      <c r="U12" s="5"/>
      <c r="V12" s="3"/>
      <c r="W12" s="6">
        <v>0</v>
      </c>
      <c r="X12" s="4" t="s">
        <v>52</v>
      </c>
    </row>
    <row r="13" spans="1:24" ht="20" customHeight="1">
      <c r="A13" s="5">
        <v>45010</v>
      </c>
      <c r="B13" s="3" t="s">
        <v>53</v>
      </c>
      <c r="C13" s="6">
        <v>0.54166666666666663</v>
      </c>
      <c r="D13" s="3" t="s">
        <v>53</v>
      </c>
      <c r="E13" s="6">
        <v>0.57291666666666663</v>
      </c>
      <c r="F13" s="3" t="s">
        <v>51</v>
      </c>
      <c r="G13" s="3" t="s">
        <v>83</v>
      </c>
      <c r="H13" s="3" t="s">
        <v>47</v>
      </c>
      <c r="I13" s="3">
        <v>0</v>
      </c>
      <c r="J13" s="3">
        <v>0</v>
      </c>
      <c r="K13" s="6">
        <v>3.125E-2</v>
      </c>
      <c r="L13" s="3" t="s">
        <v>48</v>
      </c>
      <c r="M13" s="3">
        <v>1</v>
      </c>
      <c r="N13" s="3">
        <v>0</v>
      </c>
      <c r="O13" s="6">
        <v>0</v>
      </c>
      <c r="P13" s="6">
        <v>0</v>
      </c>
      <c r="Q13" s="6">
        <v>3.125E-2</v>
      </c>
      <c r="R13" s="6">
        <v>0</v>
      </c>
      <c r="S13" s="6">
        <v>0</v>
      </c>
      <c r="T13" s="6">
        <v>0</v>
      </c>
      <c r="U13" s="5"/>
      <c r="V13" s="3"/>
      <c r="W13" s="6">
        <v>0</v>
      </c>
      <c r="X13" s="4" t="s">
        <v>52</v>
      </c>
    </row>
    <row r="14" spans="1:24" ht="20" customHeight="1">
      <c r="A14" s="5">
        <v>45010</v>
      </c>
      <c r="B14" s="3" t="s">
        <v>53</v>
      </c>
      <c r="C14" s="6">
        <v>0.71180555555555558</v>
      </c>
      <c r="D14" s="3" t="s">
        <v>49</v>
      </c>
      <c r="E14" s="6">
        <v>0.74305555555555558</v>
      </c>
      <c r="F14" s="3" t="s">
        <v>51</v>
      </c>
      <c r="G14" s="3" t="s">
        <v>83</v>
      </c>
      <c r="H14" s="3" t="s">
        <v>47</v>
      </c>
      <c r="I14" s="3">
        <v>0</v>
      </c>
      <c r="J14" s="3">
        <v>0</v>
      </c>
      <c r="K14" s="6">
        <v>3.125E-2</v>
      </c>
      <c r="L14" s="3" t="s">
        <v>48</v>
      </c>
      <c r="M14" s="3">
        <v>1</v>
      </c>
      <c r="N14" s="3">
        <v>0</v>
      </c>
      <c r="O14" s="6">
        <v>0</v>
      </c>
      <c r="P14" s="6">
        <v>0</v>
      </c>
      <c r="Q14" s="6">
        <v>3.125E-2</v>
      </c>
      <c r="R14" s="6">
        <v>0</v>
      </c>
      <c r="S14" s="6">
        <v>0</v>
      </c>
      <c r="T14" s="6">
        <v>0</v>
      </c>
      <c r="U14" s="5"/>
      <c r="V14" s="3"/>
      <c r="W14" s="6">
        <v>0</v>
      </c>
      <c r="X14" s="4" t="s">
        <v>52</v>
      </c>
    </row>
    <row r="15" spans="1:24" ht="20" customHeight="1">
      <c r="A15" s="5">
        <v>45031</v>
      </c>
      <c r="B15" s="3" t="s">
        <v>49</v>
      </c>
      <c r="C15" s="6">
        <v>0.41666666666666669</v>
      </c>
      <c r="D15" s="3" t="s">
        <v>49</v>
      </c>
      <c r="E15" s="6">
        <v>0.5</v>
      </c>
      <c r="F15" s="3" t="s">
        <v>51</v>
      </c>
      <c r="G15" s="3" t="s">
        <v>83</v>
      </c>
      <c r="H15" s="3" t="s">
        <v>47</v>
      </c>
      <c r="I15" s="3">
        <v>0</v>
      </c>
      <c r="J15" s="3">
        <v>0</v>
      </c>
      <c r="K15" s="6">
        <v>8.3333333333333329E-2</v>
      </c>
      <c r="L15" s="3" t="s">
        <v>48</v>
      </c>
      <c r="M15" s="3">
        <v>1</v>
      </c>
      <c r="N15" s="3">
        <v>0</v>
      </c>
      <c r="O15" s="6">
        <v>0</v>
      </c>
      <c r="P15" s="6">
        <v>0</v>
      </c>
      <c r="Q15" s="6">
        <v>8.3333333333333329E-2</v>
      </c>
      <c r="R15" s="6">
        <v>0</v>
      </c>
      <c r="S15" s="6">
        <v>0</v>
      </c>
      <c r="T15" s="6">
        <v>0</v>
      </c>
      <c r="U15" s="5"/>
      <c r="V15" s="3"/>
      <c r="W15" s="6">
        <v>0</v>
      </c>
      <c r="X15" s="4" t="s">
        <v>52</v>
      </c>
    </row>
    <row r="16" spans="1:24" ht="20" customHeight="1">
      <c r="A16" s="5">
        <v>45044</v>
      </c>
      <c r="B16" s="3" t="s">
        <v>49</v>
      </c>
      <c r="C16" s="6">
        <v>0.79513888888888884</v>
      </c>
      <c r="D16" s="3" t="s">
        <v>54</v>
      </c>
      <c r="E16" s="6">
        <v>0.8125</v>
      </c>
      <c r="F16" s="3" t="s">
        <v>51</v>
      </c>
      <c r="G16" s="3" t="s">
        <v>83</v>
      </c>
      <c r="H16" s="3" t="s">
        <v>47</v>
      </c>
      <c r="I16" s="3">
        <v>0</v>
      </c>
      <c r="J16" s="3">
        <v>0</v>
      </c>
      <c r="K16" s="6">
        <v>1.7361111111111112E-2</v>
      </c>
      <c r="L16" s="3" t="s">
        <v>48</v>
      </c>
      <c r="M16" s="3">
        <v>1</v>
      </c>
      <c r="N16" s="3">
        <v>0</v>
      </c>
      <c r="O16" s="6">
        <v>0</v>
      </c>
      <c r="P16" s="6">
        <v>0</v>
      </c>
      <c r="Q16" s="6">
        <v>1.7361111111111112E-2</v>
      </c>
      <c r="R16" s="6">
        <v>0</v>
      </c>
      <c r="S16" s="6">
        <v>0</v>
      </c>
      <c r="T16" s="6">
        <v>0</v>
      </c>
      <c r="U16" s="5"/>
      <c r="V16" s="3"/>
      <c r="W16" s="6">
        <v>0</v>
      </c>
      <c r="X16" s="4" t="s">
        <v>52</v>
      </c>
    </row>
    <row r="17" spans="1:24" ht="20" customHeight="1">
      <c r="A17" s="5">
        <v>45044</v>
      </c>
      <c r="B17" s="3" t="s">
        <v>54</v>
      </c>
      <c r="C17" s="6">
        <v>0.73611111111111116</v>
      </c>
      <c r="D17" s="3" t="s">
        <v>49</v>
      </c>
      <c r="E17" s="6">
        <v>0.76041666666666663</v>
      </c>
      <c r="F17" s="3" t="s">
        <v>51</v>
      </c>
      <c r="G17" s="3" t="s">
        <v>83</v>
      </c>
      <c r="H17" s="3" t="s">
        <v>47</v>
      </c>
      <c r="I17" s="3">
        <v>0</v>
      </c>
      <c r="J17" s="3">
        <v>0</v>
      </c>
      <c r="K17" s="6">
        <v>2.4305555555555556E-2</v>
      </c>
      <c r="L17" s="3" t="s">
        <v>48</v>
      </c>
      <c r="M17" s="3">
        <v>1</v>
      </c>
      <c r="N17" s="3">
        <v>0</v>
      </c>
      <c r="O17" s="6">
        <v>0</v>
      </c>
      <c r="P17" s="6">
        <v>0</v>
      </c>
      <c r="Q17" s="6">
        <v>2.4305555555555556E-2</v>
      </c>
      <c r="R17" s="6">
        <v>0</v>
      </c>
      <c r="S17" s="6">
        <v>0</v>
      </c>
      <c r="T17" s="6">
        <v>0</v>
      </c>
      <c r="U17" s="5"/>
      <c r="V17" s="3"/>
      <c r="W17" s="6">
        <v>0</v>
      </c>
      <c r="X17" s="4"/>
    </row>
    <row r="18" spans="1:24" ht="20" customHeight="1">
      <c r="A18" s="5">
        <v>45061</v>
      </c>
      <c r="B18" s="3" t="s">
        <v>49</v>
      </c>
      <c r="C18" s="6">
        <v>0.60763888888888884</v>
      </c>
      <c r="D18" s="3" t="s">
        <v>54</v>
      </c>
      <c r="E18" s="6">
        <v>0.62847222222222221</v>
      </c>
      <c r="F18" s="3" t="s">
        <v>51</v>
      </c>
      <c r="G18" s="3" t="s">
        <v>83</v>
      </c>
      <c r="H18" s="3" t="s">
        <v>47</v>
      </c>
      <c r="I18" s="3">
        <v>0</v>
      </c>
      <c r="J18" s="3">
        <v>0</v>
      </c>
      <c r="K18" s="6">
        <v>2.0833333333333332E-2</v>
      </c>
      <c r="L18" s="3" t="s">
        <v>48</v>
      </c>
      <c r="M18" s="3">
        <v>1</v>
      </c>
      <c r="N18" s="3">
        <v>0</v>
      </c>
      <c r="O18" s="6">
        <v>0</v>
      </c>
      <c r="P18" s="6">
        <v>0</v>
      </c>
      <c r="Q18" s="6">
        <v>2.0833333333333332E-2</v>
      </c>
      <c r="R18" s="6">
        <v>0</v>
      </c>
      <c r="S18" s="6">
        <v>0</v>
      </c>
      <c r="T18" s="6">
        <v>0</v>
      </c>
      <c r="U18" s="5"/>
      <c r="V18" s="3"/>
      <c r="W18" s="6">
        <v>0</v>
      </c>
      <c r="X18" s="4" t="s">
        <v>52</v>
      </c>
    </row>
    <row r="19" spans="1:24" ht="20" customHeight="1">
      <c r="A19" s="5">
        <v>45061</v>
      </c>
      <c r="B19" s="3" t="s">
        <v>54</v>
      </c>
      <c r="C19" s="6">
        <v>0.76388888888888884</v>
      </c>
      <c r="D19" s="3" t="s">
        <v>49</v>
      </c>
      <c r="E19" s="6">
        <v>0.80902777777777779</v>
      </c>
      <c r="F19" s="3" t="s">
        <v>51</v>
      </c>
      <c r="G19" s="3" t="s">
        <v>83</v>
      </c>
      <c r="H19" s="3" t="s">
        <v>47</v>
      </c>
      <c r="I19" s="3">
        <v>0</v>
      </c>
      <c r="J19" s="3">
        <v>0</v>
      </c>
      <c r="K19" s="6">
        <v>4.5138888888888888E-2</v>
      </c>
      <c r="L19" s="3" t="s">
        <v>48</v>
      </c>
      <c r="M19" s="3">
        <v>1</v>
      </c>
      <c r="N19" s="3">
        <v>0</v>
      </c>
      <c r="O19" s="6">
        <v>0</v>
      </c>
      <c r="P19" s="6">
        <v>0</v>
      </c>
      <c r="Q19" s="6">
        <v>4.5138888888888888E-2</v>
      </c>
      <c r="R19" s="6">
        <v>0</v>
      </c>
      <c r="S19" s="6">
        <v>0</v>
      </c>
      <c r="T19" s="6">
        <v>0</v>
      </c>
      <c r="U19" s="5"/>
      <c r="V19" s="3"/>
      <c r="W19" s="6">
        <v>0</v>
      </c>
      <c r="X19" s="4" t="s">
        <v>52</v>
      </c>
    </row>
    <row r="20" spans="1:24" ht="25" customHeight="1">
      <c r="A20" s="18" t="s">
        <v>40</v>
      </c>
      <c r="B20" s="18"/>
      <c r="C20" s="19"/>
      <c r="D20" s="18"/>
      <c r="E20" s="19"/>
      <c r="F20" s="18"/>
      <c r="G20" s="18"/>
      <c r="H20" s="7">
        <f>SUM(H4:H19)</f>
        <v>0</v>
      </c>
      <c r="I20" s="7">
        <f>SUM(I4:I19)</f>
        <v>0</v>
      </c>
      <c r="J20" s="7">
        <f>SUM(J4:J19)</f>
        <v>0</v>
      </c>
      <c r="K20" s="8">
        <f>SUM(K4:K19)</f>
        <v>0.56597222222222221</v>
      </c>
      <c r="L20" s="7"/>
      <c r="M20" s="7">
        <f t="shared" ref="M20:T20" si="0">SUM(M4:M19)</f>
        <v>22</v>
      </c>
      <c r="N20" s="7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0.56597222222222221</v>
      </c>
      <c r="R20" s="8">
        <f t="shared" si="0"/>
        <v>0</v>
      </c>
      <c r="S20" s="8">
        <f t="shared" si="0"/>
        <v>0</v>
      </c>
      <c r="T20" s="8">
        <f t="shared" si="0"/>
        <v>0</v>
      </c>
      <c r="U20" s="7"/>
      <c r="V20" s="7"/>
      <c r="W20" s="8">
        <f>SUM(W4:W19)</f>
        <v>0</v>
      </c>
      <c r="X20" s="7"/>
    </row>
    <row r="21" spans="1:24" ht="25" customHeight="1">
      <c r="A21" s="20" t="s">
        <v>41</v>
      </c>
      <c r="B21" s="20"/>
      <c r="C21" s="21"/>
      <c r="D21" s="20"/>
      <c r="E21" s="21"/>
      <c r="F21" s="20"/>
      <c r="G21" s="20"/>
      <c r="H21" s="9">
        <v>0</v>
      </c>
      <c r="I21" s="9">
        <v>0</v>
      </c>
      <c r="J21" s="9">
        <v>0</v>
      </c>
      <c r="K21" s="10">
        <v>27.223611111111111</v>
      </c>
      <c r="L21" s="9"/>
      <c r="M21" s="9">
        <v>1220</v>
      </c>
      <c r="N21" s="9">
        <v>0</v>
      </c>
      <c r="O21" s="10">
        <v>0</v>
      </c>
      <c r="P21" s="10">
        <v>0</v>
      </c>
      <c r="Q21" s="10">
        <v>23.061805555555555</v>
      </c>
      <c r="R21" s="10">
        <v>0</v>
      </c>
      <c r="S21" s="10">
        <v>3.7493055555555554</v>
      </c>
      <c r="T21" s="10">
        <v>0.41597222222222224</v>
      </c>
      <c r="U21" s="9"/>
      <c r="V21" s="9"/>
      <c r="W21" s="10">
        <v>0</v>
      </c>
      <c r="X21" s="9"/>
    </row>
    <row r="22" spans="1:24" ht="25" customHeight="1">
      <c r="A22" s="22" t="s">
        <v>42</v>
      </c>
      <c r="B22" s="22"/>
      <c r="C22" s="23"/>
      <c r="D22" s="22"/>
      <c r="E22" s="23"/>
      <c r="F22" s="22"/>
      <c r="G22" s="22"/>
      <c r="H22" s="11">
        <f>H20+H21</f>
        <v>0</v>
      </c>
      <c r="I22" s="11">
        <f>I20+I21</f>
        <v>0</v>
      </c>
      <c r="J22" s="11">
        <f>J20+J21</f>
        <v>0</v>
      </c>
      <c r="K22" s="12">
        <f>K20+K21</f>
        <v>27.789583333333333</v>
      </c>
      <c r="L22" s="11"/>
      <c r="M22" s="11">
        <f t="shared" ref="M22:T22" si="1">M20+M21</f>
        <v>1242</v>
      </c>
      <c r="N22" s="11">
        <f t="shared" si="1"/>
        <v>0</v>
      </c>
      <c r="O22" s="12">
        <f t="shared" si="1"/>
        <v>0</v>
      </c>
      <c r="P22" s="12">
        <f t="shared" si="1"/>
        <v>0</v>
      </c>
      <c r="Q22" s="12">
        <f t="shared" si="1"/>
        <v>23.627777777777776</v>
      </c>
      <c r="R22" s="12">
        <f t="shared" si="1"/>
        <v>0</v>
      </c>
      <c r="S22" s="12">
        <f t="shared" si="1"/>
        <v>3.7493055555555554</v>
      </c>
      <c r="T22" s="12">
        <f t="shared" si="1"/>
        <v>0.41597222222222224</v>
      </c>
      <c r="U22" s="11"/>
      <c r="V22" s="11"/>
      <c r="W22" s="12">
        <f>W20+W21</f>
        <v>0</v>
      </c>
      <c r="X22" s="11"/>
    </row>
    <row r="24" spans="1:24" ht="28" customHeight="1">
      <c r="A24" s="24" t="s">
        <v>55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</sheetData>
  <mergeCells count="25">
    <mergeCell ref="D1:E1"/>
    <mergeCell ref="F1:G1"/>
    <mergeCell ref="H1:J1"/>
    <mergeCell ref="M1:N1"/>
    <mergeCell ref="O1:P1"/>
    <mergeCell ref="Q1:T1"/>
    <mergeCell ref="U1:W1"/>
    <mergeCell ref="A2:A3"/>
    <mergeCell ref="B2:C2"/>
    <mergeCell ref="D2:E2"/>
    <mergeCell ref="F2:G2"/>
    <mergeCell ref="H2:I2"/>
    <mergeCell ref="J2:J3"/>
    <mergeCell ref="K2:K3"/>
    <mergeCell ref="L2:L3"/>
    <mergeCell ref="M2:N2"/>
    <mergeCell ref="O2:P2"/>
    <mergeCell ref="Q2:T2"/>
    <mergeCell ref="U2:W2"/>
    <mergeCell ref="B1:C1"/>
    <mergeCell ref="X2:X3"/>
    <mergeCell ref="A20:G20"/>
    <mergeCell ref="A21:G21"/>
    <mergeCell ref="A22:G22"/>
    <mergeCell ref="A24:X24"/>
  </mergeCells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4"/>
  <sheetViews>
    <sheetView showGridLines="0" tabSelected="1" zoomScale="130" zoomScaleNormal="130" workbookViewId="0">
      <selection activeCell="A19" sqref="A19:XFD19"/>
    </sheetView>
  </sheetViews>
  <sheetFormatPr baseColWidth="10" defaultColWidth="8.83203125" defaultRowHeight="14"/>
  <cols>
    <col min="1" max="1" width="11" customWidth="1"/>
    <col min="2" max="2" width="10" customWidth="1"/>
    <col min="3" max="3" width="8" customWidth="1"/>
    <col min="4" max="4" width="10" customWidth="1"/>
    <col min="5" max="5" width="8" customWidth="1"/>
    <col min="6" max="6" width="13" customWidth="1"/>
    <col min="7" max="7" width="11" customWidth="1"/>
    <col min="8" max="9" width="6" customWidth="1"/>
    <col min="10" max="10" width="7" customWidth="1"/>
    <col min="11" max="11" width="9" customWidth="1"/>
    <col min="12" max="12" width="14" customWidth="1"/>
    <col min="13" max="16" width="7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24" customWidth="1"/>
  </cols>
  <sheetData>
    <row r="1" spans="1:24" ht="15" customHeight="1">
      <c r="A1" s="2" t="s">
        <v>0</v>
      </c>
      <c r="B1" s="26" t="s">
        <v>1</v>
      </c>
      <c r="C1" s="26" t="s">
        <v>1</v>
      </c>
      <c r="D1" s="26" t="s">
        <v>2</v>
      </c>
      <c r="E1" s="26" t="s">
        <v>2</v>
      </c>
      <c r="F1" s="26" t="s">
        <v>3</v>
      </c>
      <c r="G1" s="26" t="s">
        <v>3</v>
      </c>
      <c r="H1" s="26" t="s">
        <v>4</v>
      </c>
      <c r="I1" s="26" t="s">
        <v>4</v>
      </c>
      <c r="J1" s="26" t="s">
        <v>4</v>
      </c>
      <c r="K1" s="2" t="s">
        <v>5</v>
      </c>
      <c r="L1" s="2" t="s">
        <v>6</v>
      </c>
      <c r="M1" s="26" t="s">
        <v>7</v>
      </c>
      <c r="N1" s="26" t="s">
        <v>7</v>
      </c>
      <c r="O1" s="26" t="s">
        <v>8</v>
      </c>
      <c r="P1" s="26" t="s">
        <v>8</v>
      </c>
      <c r="Q1" s="26" t="s">
        <v>9</v>
      </c>
      <c r="R1" s="26" t="s">
        <v>9</v>
      </c>
      <c r="S1" s="26" t="s">
        <v>9</v>
      </c>
      <c r="T1" s="26" t="s">
        <v>9</v>
      </c>
      <c r="U1" s="26" t="s">
        <v>10</v>
      </c>
      <c r="V1" s="26" t="s">
        <v>10</v>
      </c>
      <c r="W1" s="26" t="s">
        <v>10</v>
      </c>
      <c r="X1" s="2" t="s">
        <v>11</v>
      </c>
    </row>
    <row r="2" spans="1:24" ht="30" customHeight="1">
      <c r="A2" s="17" t="s">
        <v>12</v>
      </c>
      <c r="B2" s="17" t="s">
        <v>13</v>
      </c>
      <c r="C2" s="17" t="s">
        <v>13</v>
      </c>
      <c r="D2" s="17" t="s">
        <v>14</v>
      </c>
      <c r="E2" s="17" t="s">
        <v>14</v>
      </c>
      <c r="F2" s="17" t="s">
        <v>15</v>
      </c>
      <c r="G2" s="17" t="s">
        <v>15</v>
      </c>
      <c r="H2" s="17" t="s">
        <v>16</v>
      </c>
      <c r="I2" s="17" t="s">
        <v>16</v>
      </c>
      <c r="J2" s="17" t="s">
        <v>17</v>
      </c>
      <c r="K2" s="17" t="s">
        <v>18</v>
      </c>
      <c r="L2" s="17" t="s">
        <v>19</v>
      </c>
      <c r="M2" s="17" t="s">
        <v>20</v>
      </c>
      <c r="N2" s="17" t="s">
        <v>20</v>
      </c>
      <c r="O2" s="17" t="s">
        <v>21</v>
      </c>
      <c r="P2" s="17" t="s">
        <v>21</v>
      </c>
      <c r="Q2" s="17" t="s">
        <v>22</v>
      </c>
      <c r="R2" s="17" t="s">
        <v>22</v>
      </c>
      <c r="S2" s="17" t="s">
        <v>22</v>
      </c>
      <c r="T2" s="17" t="s">
        <v>22</v>
      </c>
      <c r="U2" s="17" t="s">
        <v>23</v>
      </c>
      <c r="V2" s="17" t="s">
        <v>23</v>
      </c>
      <c r="W2" s="17" t="s">
        <v>23</v>
      </c>
      <c r="X2" s="17" t="s">
        <v>24</v>
      </c>
    </row>
    <row r="3" spans="1:24" ht="34" customHeight="1">
      <c r="A3" s="17" t="s">
        <v>12</v>
      </c>
      <c r="B3" s="1" t="s">
        <v>25</v>
      </c>
      <c r="C3" s="1" t="s">
        <v>26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7"/>
      <c r="K3" s="17"/>
      <c r="L3" s="17"/>
      <c r="M3" s="1" t="s">
        <v>31</v>
      </c>
      <c r="N3" s="1" t="s">
        <v>32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12</v>
      </c>
      <c r="V3" s="1" t="s">
        <v>38</v>
      </c>
      <c r="W3" s="1" t="s">
        <v>39</v>
      </c>
      <c r="X3" s="17"/>
    </row>
    <row r="4" spans="1:24" ht="20" customHeight="1">
      <c r="A4" s="5">
        <v>45092</v>
      </c>
      <c r="B4" s="3" t="s">
        <v>49</v>
      </c>
      <c r="C4" s="6">
        <v>0.3888888888888889</v>
      </c>
      <c r="D4" s="3" t="s">
        <v>54</v>
      </c>
      <c r="E4" s="6">
        <v>0.4513888888888889</v>
      </c>
      <c r="F4" s="3" t="s">
        <v>51</v>
      </c>
      <c r="G4" s="3" t="s">
        <v>83</v>
      </c>
      <c r="H4" s="3" t="s">
        <v>47</v>
      </c>
      <c r="I4" s="3">
        <v>0</v>
      </c>
      <c r="J4" s="3">
        <v>0</v>
      </c>
      <c r="K4" s="6">
        <v>6.25E-2</v>
      </c>
      <c r="L4" s="3" t="s">
        <v>48</v>
      </c>
      <c r="M4" s="3">
        <v>1</v>
      </c>
      <c r="N4" s="3">
        <v>0</v>
      </c>
      <c r="O4" s="6">
        <v>0</v>
      </c>
      <c r="P4" s="6">
        <v>0</v>
      </c>
      <c r="Q4" s="6">
        <v>6.25E-2</v>
      </c>
      <c r="R4" s="6">
        <v>0</v>
      </c>
      <c r="S4" s="6">
        <v>0</v>
      </c>
      <c r="T4" s="6">
        <v>0</v>
      </c>
      <c r="U4" s="5"/>
      <c r="V4" s="3"/>
      <c r="W4" s="6">
        <v>0</v>
      </c>
      <c r="X4" s="4" t="s">
        <v>52</v>
      </c>
    </row>
    <row r="5" spans="1:24" ht="20" customHeight="1">
      <c r="A5" s="5">
        <v>45092</v>
      </c>
      <c r="B5" s="3" t="s">
        <v>54</v>
      </c>
      <c r="C5" s="6">
        <v>0.4826388888888889</v>
      </c>
      <c r="D5" s="3" t="s">
        <v>49</v>
      </c>
      <c r="E5" s="6">
        <v>0.5</v>
      </c>
      <c r="F5" s="3" t="s">
        <v>51</v>
      </c>
      <c r="G5" s="3" t="s">
        <v>83</v>
      </c>
      <c r="H5" s="3" t="s">
        <v>47</v>
      </c>
      <c r="I5" s="3">
        <v>0</v>
      </c>
      <c r="J5" s="3">
        <v>0</v>
      </c>
      <c r="K5" s="6">
        <v>1.7361111111111112E-2</v>
      </c>
      <c r="L5" s="3" t="s">
        <v>48</v>
      </c>
      <c r="M5" s="3">
        <v>1</v>
      </c>
      <c r="N5" s="3">
        <v>0</v>
      </c>
      <c r="O5" s="6">
        <v>0</v>
      </c>
      <c r="P5" s="6">
        <v>0</v>
      </c>
      <c r="Q5" s="6">
        <v>1.7361111111111112E-2</v>
      </c>
      <c r="R5" s="6">
        <v>0</v>
      </c>
      <c r="S5" s="6">
        <v>0</v>
      </c>
      <c r="T5" s="6">
        <v>0</v>
      </c>
      <c r="U5" s="5"/>
      <c r="V5" s="3"/>
      <c r="W5" s="6">
        <v>0</v>
      </c>
      <c r="X5" s="4"/>
    </row>
    <row r="6" spans="1:24" ht="20" customHeight="1">
      <c r="A6" s="5">
        <v>45101</v>
      </c>
      <c r="B6" s="3" t="s">
        <v>49</v>
      </c>
      <c r="C6" s="6">
        <v>0.44791666666666669</v>
      </c>
      <c r="D6" s="3" t="s">
        <v>49</v>
      </c>
      <c r="E6" s="6">
        <v>0.47916666666666669</v>
      </c>
      <c r="F6" s="3" t="s">
        <v>51</v>
      </c>
      <c r="G6" s="3" t="s">
        <v>83</v>
      </c>
      <c r="H6" s="3" t="s">
        <v>47</v>
      </c>
      <c r="I6" s="3">
        <v>0</v>
      </c>
      <c r="J6" s="3">
        <v>0</v>
      </c>
      <c r="K6" s="6">
        <v>3.125E-2</v>
      </c>
      <c r="L6" s="3" t="s">
        <v>48</v>
      </c>
      <c r="M6" s="3">
        <v>1</v>
      </c>
      <c r="N6" s="3">
        <v>0</v>
      </c>
      <c r="O6" s="6">
        <v>0</v>
      </c>
      <c r="P6" s="6">
        <v>0</v>
      </c>
      <c r="Q6" s="6">
        <v>3.125E-2</v>
      </c>
      <c r="R6" s="6">
        <v>0</v>
      </c>
      <c r="S6" s="6">
        <v>0</v>
      </c>
      <c r="T6" s="6">
        <v>0</v>
      </c>
      <c r="U6" s="5"/>
      <c r="V6" s="3"/>
      <c r="W6" s="6">
        <v>0</v>
      </c>
      <c r="X6" s="4" t="s">
        <v>52</v>
      </c>
    </row>
    <row r="7" spans="1:24" ht="20" customHeight="1">
      <c r="A7" s="5">
        <v>45104</v>
      </c>
      <c r="B7" s="3" t="s">
        <v>44</v>
      </c>
      <c r="C7" s="6">
        <v>0.4236111111111111</v>
      </c>
      <c r="D7" s="3" t="s">
        <v>81</v>
      </c>
      <c r="E7" s="6">
        <v>0.47222222222222221</v>
      </c>
      <c r="F7" s="3" t="s">
        <v>45</v>
      </c>
      <c r="G7" s="3" t="s">
        <v>46</v>
      </c>
      <c r="H7" s="3" t="s">
        <v>47</v>
      </c>
      <c r="I7" s="3">
        <v>0</v>
      </c>
      <c r="J7" s="3">
        <v>0</v>
      </c>
      <c r="K7" s="6">
        <v>4.8611111111111112E-2</v>
      </c>
      <c r="L7" s="3" t="s">
        <v>48</v>
      </c>
      <c r="M7" s="3">
        <v>1</v>
      </c>
      <c r="N7" s="3">
        <v>0</v>
      </c>
      <c r="O7" s="6">
        <v>0</v>
      </c>
      <c r="P7" s="6">
        <v>0</v>
      </c>
      <c r="Q7" s="6">
        <v>4.8611111111111112E-2</v>
      </c>
      <c r="R7" s="6">
        <v>0</v>
      </c>
      <c r="S7" s="6">
        <v>0</v>
      </c>
      <c r="T7" s="6">
        <v>0</v>
      </c>
      <c r="U7" s="5"/>
      <c r="V7" s="3"/>
      <c r="W7" s="6">
        <v>0</v>
      </c>
      <c r="X7" s="4" t="s">
        <v>79</v>
      </c>
    </row>
    <row r="8" spans="1:24" ht="20" customHeight="1">
      <c r="A8" s="5">
        <v>45104</v>
      </c>
      <c r="B8" s="3" t="s">
        <v>81</v>
      </c>
      <c r="C8" s="6">
        <v>0.48958333333333331</v>
      </c>
      <c r="D8" s="3" t="s">
        <v>81</v>
      </c>
      <c r="E8" s="6">
        <v>0.51041666666666663</v>
      </c>
      <c r="F8" s="3" t="s">
        <v>45</v>
      </c>
      <c r="G8" s="3" t="s">
        <v>46</v>
      </c>
      <c r="H8" s="3" t="s">
        <v>47</v>
      </c>
      <c r="I8" s="3">
        <v>0</v>
      </c>
      <c r="J8" s="3">
        <v>0</v>
      </c>
      <c r="K8" s="6">
        <v>2.0833333333333332E-2</v>
      </c>
      <c r="L8" s="3" t="s">
        <v>48</v>
      </c>
      <c r="M8" s="3">
        <v>4</v>
      </c>
      <c r="N8" s="3">
        <v>0</v>
      </c>
      <c r="O8" s="6">
        <v>0</v>
      </c>
      <c r="P8" s="6">
        <v>0</v>
      </c>
      <c r="Q8" s="6">
        <v>2.0833333333333332E-2</v>
      </c>
      <c r="R8" s="6">
        <v>0</v>
      </c>
      <c r="S8" s="6">
        <v>0</v>
      </c>
      <c r="T8" s="6">
        <v>0</v>
      </c>
      <c r="U8" s="5"/>
      <c r="V8" s="3"/>
      <c r="W8" s="6">
        <v>0</v>
      </c>
      <c r="X8" s="4" t="s">
        <v>79</v>
      </c>
    </row>
    <row r="9" spans="1:24" ht="20" customHeight="1">
      <c r="A9" s="5">
        <v>45104</v>
      </c>
      <c r="B9" s="3" t="s">
        <v>81</v>
      </c>
      <c r="C9" s="6">
        <v>0.59027777777777779</v>
      </c>
      <c r="D9" s="3" t="s">
        <v>82</v>
      </c>
      <c r="E9" s="6">
        <v>0.61111111111111116</v>
      </c>
      <c r="F9" s="3" t="s">
        <v>45</v>
      </c>
      <c r="G9" s="3" t="s">
        <v>46</v>
      </c>
      <c r="H9" s="3" t="s">
        <v>47</v>
      </c>
      <c r="I9" s="3">
        <v>0</v>
      </c>
      <c r="J9" s="3">
        <v>0</v>
      </c>
      <c r="K9" s="6">
        <v>2.0833333333333332E-2</v>
      </c>
      <c r="L9" s="3" t="s">
        <v>48</v>
      </c>
      <c r="M9" s="3">
        <v>3</v>
      </c>
      <c r="N9" s="3">
        <v>0</v>
      </c>
      <c r="O9" s="6">
        <v>0</v>
      </c>
      <c r="P9" s="6">
        <v>0</v>
      </c>
      <c r="Q9" s="6">
        <v>2.0833333333333332E-2</v>
      </c>
      <c r="R9" s="6">
        <v>0</v>
      </c>
      <c r="S9" s="6">
        <v>0</v>
      </c>
      <c r="T9" s="6">
        <v>0</v>
      </c>
      <c r="U9" s="5"/>
      <c r="V9" s="3"/>
      <c r="W9" s="6">
        <v>0</v>
      </c>
      <c r="X9" s="4" t="s">
        <v>79</v>
      </c>
    </row>
    <row r="10" spans="1:24" ht="20" customHeight="1">
      <c r="A10" s="5">
        <v>45104</v>
      </c>
      <c r="B10" s="3" t="s">
        <v>82</v>
      </c>
      <c r="C10" s="6">
        <v>0.70486111111111116</v>
      </c>
      <c r="D10" s="3" t="s">
        <v>44</v>
      </c>
      <c r="E10" s="6">
        <v>0.73611111111111116</v>
      </c>
      <c r="F10" s="3" t="s">
        <v>45</v>
      </c>
      <c r="G10" s="3" t="s">
        <v>46</v>
      </c>
      <c r="H10" s="3" t="s">
        <v>47</v>
      </c>
      <c r="I10" s="3">
        <v>0</v>
      </c>
      <c r="J10" s="3">
        <v>0</v>
      </c>
      <c r="K10" s="6">
        <v>3.125E-2</v>
      </c>
      <c r="L10" s="3" t="s">
        <v>48</v>
      </c>
      <c r="M10" s="3">
        <v>1</v>
      </c>
      <c r="N10" s="3">
        <v>0</v>
      </c>
      <c r="O10" s="6">
        <v>0</v>
      </c>
      <c r="P10" s="6">
        <v>0</v>
      </c>
      <c r="Q10" s="6">
        <v>3.125E-2</v>
      </c>
      <c r="R10" s="6">
        <v>0</v>
      </c>
      <c r="S10" s="6">
        <v>0</v>
      </c>
      <c r="T10" s="6">
        <v>0</v>
      </c>
      <c r="U10" s="5"/>
      <c r="V10" s="3"/>
      <c r="W10" s="6">
        <v>0</v>
      </c>
      <c r="X10" s="4"/>
    </row>
    <row r="11" spans="1:24" ht="20" customHeight="1">
      <c r="A11" s="5">
        <v>45109</v>
      </c>
      <c r="B11" s="3" t="s">
        <v>49</v>
      </c>
      <c r="C11" s="6">
        <v>0.4236111111111111</v>
      </c>
      <c r="D11" s="3" t="s">
        <v>49</v>
      </c>
      <c r="E11" s="6">
        <v>0.45833333333333331</v>
      </c>
      <c r="F11" s="3" t="s">
        <v>51</v>
      </c>
      <c r="G11" s="3" t="s">
        <v>83</v>
      </c>
      <c r="H11" s="3" t="s">
        <v>47</v>
      </c>
      <c r="I11" s="3">
        <v>0</v>
      </c>
      <c r="J11" s="3">
        <v>0</v>
      </c>
      <c r="K11" s="6">
        <v>3.4722222222222224E-2</v>
      </c>
      <c r="L11" s="3" t="s">
        <v>48</v>
      </c>
      <c r="M11" s="3">
        <v>1</v>
      </c>
      <c r="N11" s="3">
        <v>0</v>
      </c>
      <c r="O11" s="6">
        <v>0</v>
      </c>
      <c r="P11" s="6">
        <v>0</v>
      </c>
      <c r="Q11" s="6">
        <v>3.4722222222222224E-2</v>
      </c>
      <c r="R11" s="6">
        <v>0</v>
      </c>
      <c r="S11" s="6">
        <v>0</v>
      </c>
      <c r="T11" s="6">
        <v>0</v>
      </c>
      <c r="U11" s="5"/>
      <c r="V11" s="3"/>
      <c r="W11" s="6">
        <v>0</v>
      </c>
      <c r="X11" s="4" t="s">
        <v>52</v>
      </c>
    </row>
    <row r="12" spans="1:24" ht="20" customHeight="1">
      <c r="A12" s="5">
        <v>45112</v>
      </c>
      <c r="B12" s="3" t="s">
        <v>49</v>
      </c>
      <c r="C12" s="6">
        <v>0.31944444444444442</v>
      </c>
      <c r="D12" s="3" t="s">
        <v>49</v>
      </c>
      <c r="E12" s="6">
        <v>0.40277777777777779</v>
      </c>
      <c r="F12" s="3" t="s">
        <v>51</v>
      </c>
      <c r="G12" s="3" t="s">
        <v>83</v>
      </c>
      <c r="H12" s="3" t="s">
        <v>47</v>
      </c>
      <c r="I12" s="3">
        <v>0</v>
      </c>
      <c r="J12" s="3">
        <v>0</v>
      </c>
      <c r="K12" s="6">
        <v>8.3333333333333329E-2</v>
      </c>
      <c r="L12" s="3" t="s">
        <v>48</v>
      </c>
      <c r="M12" s="3">
        <v>1</v>
      </c>
      <c r="N12" s="3">
        <v>0</v>
      </c>
      <c r="O12" s="6">
        <v>0</v>
      </c>
      <c r="P12" s="6">
        <v>0</v>
      </c>
      <c r="Q12" s="6">
        <v>8.3333333333333329E-2</v>
      </c>
      <c r="R12" s="6">
        <v>0</v>
      </c>
      <c r="S12" s="6">
        <v>0</v>
      </c>
      <c r="T12" s="6">
        <v>0</v>
      </c>
      <c r="U12" s="5"/>
      <c r="V12" s="3"/>
      <c r="W12" s="6">
        <v>0</v>
      </c>
      <c r="X12" s="4" t="s">
        <v>52</v>
      </c>
    </row>
    <row r="13" spans="1:24" ht="20" customHeight="1">
      <c r="A13" s="5">
        <v>45114</v>
      </c>
      <c r="B13" s="3" t="s">
        <v>49</v>
      </c>
      <c r="C13" s="6">
        <v>0.44791666666666669</v>
      </c>
      <c r="D13" s="3" t="s">
        <v>56</v>
      </c>
      <c r="E13" s="6">
        <v>0.5</v>
      </c>
      <c r="F13" s="3" t="s">
        <v>51</v>
      </c>
      <c r="G13" s="3" t="s">
        <v>83</v>
      </c>
      <c r="H13" s="3" t="s">
        <v>47</v>
      </c>
      <c r="I13" s="3">
        <v>0</v>
      </c>
      <c r="J13" s="3">
        <v>0</v>
      </c>
      <c r="K13" s="6">
        <v>5.2083333333333336E-2</v>
      </c>
      <c r="L13" s="3" t="s">
        <v>48</v>
      </c>
      <c r="M13" s="3">
        <v>1</v>
      </c>
      <c r="N13" s="3">
        <v>0</v>
      </c>
      <c r="O13" s="6">
        <v>0</v>
      </c>
      <c r="P13" s="6">
        <v>0</v>
      </c>
      <c r="Q13" s="6">
        <v>5.2083333333333336E-2</v>
      </c>
      <c r="R13" s="6">
        <v>0</v>
      </c>
      <c r="S13" s="6">
        <v>0</v>
      </c>
      <c r="T13" s="6">
        <v>0</v>
      </c>
      <c r="U13" s="5"/>
      <c r="V13" s="3"/>
      <c r="W13" s="6">
        <v>0</v>
      </c>
      <c r="X13" s="4"/>
    </row>
    <row r="14" spans="1:24" ht="20" customHeight="1">
      <c r="A14" s="5">
        <v>45115</v>
      </c>
      <c r="B14" s="3" t="s">
        <v>56</v>
      </c>
      <c r="C14" s="6">
        <v>0.41319444444444442</v>
      </c>
      <c r="D14" s="3" t="s">
        <v>56</v>
      </c>
      <c r="E14" s="6">
        <v>0.4548611111111111</v>
      </c>
      <c r="F14" s="3" t="s">
        <v>51</v>
      </c>
      <c r="G14" s="3" t="s">
        <v>83</v>
      </c>
      <c r="H14" s="3" t="s">
        <v>47</v>
      </c>
      <c r="I14" s="3">
        <v>0</v>
      </c>
      <c r="J14" s="3">
        <v>0</v>
      </c>
      <c r="K14" s="6">
        <v>4.1666666666666664E-2</v>
      </c>
      <c r="L14" s="3" t="s">
        <v>48</v>
      </c>
      <c r="M14" s="3">
        <v>1</v>
      </c>
      <c r="N14" s="3">
        <v>0</v>
      </c>
      <c r="O14" s="6">
        <v>0</v>
      </c>
      <c r="P14" s="6">
        <v>0</v>
      </c>
      <c r="Q14" s="6">
        <v>4.1666666666666664E-2</v>
      </c>
      <c r="R14" s="6">
        <v>0</v>
      </c>
      <c r="S14" s="6">
        <v>0</v>
      </c>
      <c r="T14" s="6">
        <v>0</v>
      </c>
      <c r="U14" s="5"/>
      <c r="V14" s="3"/>
      <c r="W14" s="6">
        <v>0</v>
      </c>
      <c r="X14" s="4" t="s">
        <v>52</v>
      </c>
    </row>
    <row r="15" spans="1:24" ht="20" customHeight="1">
      <c r="A15" s="5">
        <v>45116</v>
      </c>
      <c r="B15" s="3" t="s">
        <v>56</v>
      </c>
      <c r="C15" s="6">
        <v>0.33333333333333331</v>
      </c>
      <c r="D15" s="3" t="s">
        <v>49</v>
      </c>
      <c r="E15" s="6">
        <v>0.38194444444444442</v>
      </c>
      <c r="F15" s="3" t="s">
        <v>51</v>
      </c>
      <c r="G15" s="3" t="s">
        <v>83</v>
      </c>
      <c r="H15" s="3" t="s">
        <v>47</v>
      </c>
      <c r="I15" s="3">
        <v>0</v>
      </c>
      <c r="J15" s="3">
        <v>0</v>
      </c>
      <c r="K15" s="6">
        <v>4.8611111111111112E-2</v>
      </c>
      <c r="L15" s="3" t="s">
        <v>48</v>
      </c>
      <c r="M15" s="3">
        <v>1</v>
      </c>
      <c r="N15" s="3">
        <v>0</v>
      </c>
      <c r="O15" s="6">
        <v>0</v>
      </c>
      <c r="P15" s="6">
        <v>0</v>
      </c>
      <c r="Q15" s="6">
        <v>4.8611111111111112E-2</v>
      </c>
      <c r="R15" s="6">
        <v>0</v>
      </c>
      <c r="S15" s="6">
        <v>0</v>
      </c>
      <c r="T15" s="6">
        <v>0</v>
      </c>
      <c r="U15" s="5"/>
      <c r="V15" s="3"/>
      <c r="W15" s="6">
        <v>0</v>
      </c>
      <c r="X15" s="4"/>
    </row>
    <row r="16" spans="1:24" ht="20" customHeight="1">
      <c r="A16" s="5">
        <v>45168</v>
      </c>
      <c r="B16" s="3" t="s">
        <v>49</v>
      </c>
      <c r="C16" s="6">
        <v>0.3125</v>
      </c>
      <c r="D16" s="3" t="s">
        <v>56</v>
      </c>
      <c r="E16" s="6">
        <v>0.46180555555555558</v>
      </c>
      <c r="F16" s="3" t="s">
        <v>51</v>
      </c>
      <c r="G16" s="3" t="s">
        <v>83</v>
      </c>
      <c r="H16" s="3" t="s">
        <v>47</v>
      </c>
      <c r="I16" s="3">
        <v>0</v>
      </c>
      <c r="J16" s="3">
        <v>0</v>
      </c>
      <c r="K16" s="6">
        <v>0.14930555555555555</v>
      </c>
      <c r="L16" s="3" t="s">
        <v>48</v>
      </c>
      <c r="M16" s="3">
        <v>1</v>
      </c>
      <c r="N16" s="3">
        <v>0</v>
      </c>
      <c r="O16" s="6">
        <v>0</v>
      </c>
      <c r="P16" s="6">
        <v>0</v>
      </c>
      <c r="Q16" s="6">
        <v>0.14930555555555555</v>
      </c>
      <c r="R16" s="6">
        <v>0</v>
      </c>
      <c r="S16" s="6">
        <v>0</v>
      </c>
      <c r="T16" s="6">
        <v>0</v>
      </c>
      <c r="U16" s="5"/>
      <c r="V16" s="3"/>
      <c r="W16" s="6">
        <v>0</v>
      </c>
      <c r="X16" s="4"/>
    </row>
    <row r="17" spans="1:24" ht="20" customHeight="1">
      <c r="A17" s="5">
        <v>45169</v>
      </c>
      <c r="B17" s="3" t="s">
        <v>56</v>
      </c>
      <c r="C17" s="6">
        <v>0.36805555555555558</v>
      </c>
      <c r="D17" s="3" t="s">
        <v>57</v>
      </c>
      <c r="E17" s="6">
        <v>0.40972222222222221</v>
      </c>
      <c r="F17" s="3" t="s">
        <v>51</v>
      </c>
      <c r="G17" s="3" t="s">
        <v>83</v>
      </c>
      <c r="H17" s="3" t="s">
        <v>47</v>
      </c>
      <c r="I17" s="3">
        <v>0</v>
      </c>
      <c r="J17" s="3">
        <v>0</v>
      </c>
      <c r="K17" s="6">
        <v>4.1666666666666664E-2</v>
      </c>
      <c r="L17" s="3" t="s">
        <v>48</v>
      </c>
      <c r="M17" s="3">
        <v>1</v>
      </c>
      <c r="N17" s="3">
        <v>0</v>
      </c>
      <c r="O17" s="6">
        <v>0</v>
      </c>
      <c r="P17" s="6">
        <v>0</v>
      </c>
      <c r="Q17" s="6">
        <v>4.1666666666666664E-2</v>
      </c>
      <c r="R17" s="6">
        <v>0</v>
      </c>
      <c r="S17" s="6">
        <v>0</v>
      </c>
      <c r="T17" s="6">
        <v>0</v>
      </c>
      <c r="U17" s="5"/>
      <c r="V17" s="3"/>
      <c r="W17" s="6">
        <v>0</v>
      </c>
      <c r="X17" s="4"/>
    </row>
    <row r="18" spans="1:24" ht="20" customHeight="1">
      <c r="A18" s="5">
        <v>45169</v>
      </c>
      <c r="B18" s="3" t="s">
        <v>57</v>
      </c>
      <c r="C18" s="6">
        <v>0.47569444444444442</v>
      </c>
      <c r="D18" s="3" t="s">
        <v>58</v>
      </c>
      <c r="E18" s="6">
        <v>0.54166666666666663</v>
      </c>
      <c r="F18" s="3" t="s">
        <v>51</v>
      </c>
      <c r="G18" s="3" t="s">
        <v>83</v>
      </c>
      <c r="H18" s="3" t="s">
        <v>47</v>
      </c>
      <c r="I18" s="3">
        <v>0</v>
      </c>
      <c r="J18" s="3">
        <v>0</v>
      </c>
      <c r="K18" s="6">
        <v>6.5972222222222224E-2</v>
      </c>
      <c r="L18" s="3" t="s">
        <v>48</v>
      </c>
      <c r="M18" s="3">
        <v>1</v>
      </c>
      <c r="N18" s="3">
        <v>0</v>
      </c>
      <c r="O18" s="6">
        <v>0</v>
      </c>
      <c r="P18" s="6">
        <v>0</v>
      </c>
      <c r="Q18" s="6">
        <v>6.5972222222222224E-2</v>
      </c>
      <c r="R18" s="6">
        <v>0</v>
      </c>
      <c r="S18" s="6">
        <v>0</v>
      </c>
      <c r="T18" s="6">
        <v>0</v>
      </c>
      <c r="U18" s="5"/>
      <c r="V18" s="3"/>
      <c r="W18" s="6">
        <v>0</v>
      </c>
      <c r="X18" s="4"/>
    </row>
    <row r="19" spans="1:24" ht="20" customHeight="1">
      <c r="A19" s="5">
        <v>45170</v>
      </c>
      <c r="B19" s="3" t="s">
        <v>58</v>
      </c>
      <c r="C19" s="6">
        <v>0.51041666666666663</v>
      </c>
      <c r="D19" s="3" t="s">
        <v>58</v>
      </c>
      <c r="E19" s="6">
        <v>0.52708333333333335</v>
      </c>
      <c r="F19" s="3" t="s">
        <v>51</v>
      </c>
      <c r="G19" s="3" t="s">
        <v>83</v>
      </c>
      <c r="H19" s="3" t="s">
        <v>47</v>
      </c>
      <c r="I19" s="3">
        <v>0</v>
      </c>
      <c r="J19" s="3">
        <v>0</v>
      </c>
      <c r="K19" s="6">
        <v>3.125E-2</v>
      </c>
      <c r="L19" s="3" t="s">
        <v>48</v>
      </c>
      <c r="M19" s="3">
        <v>1</v>
      </c>
      <c r="N19" s="3">
        <v>0</v>
      </c>
      <c r="O19" s="6">
        <v>0</v>
      </c>
      <c r="P19" s="6">
        <v>0</v>
      </c>
      <c r="Q19" s="6">
        <v>3.125E-2</v>
      </c>
      <c r="R19" s="6">
        <v>0</v>
      </c>
      <c r="S19" s="6">
        <v>0</v>
      </c>
      <c r="T19" s="6">
        <v>0</v>
      </c>
      <c r="U19" s="5"/>
      <c r="V19" s="3"/>
      <c r="W19" s="6">
        <v>0</v>
      </c>
      <c r="X19" s="4" t="s">
        <v>59</v>
      </c>
    </row>
    <row r="20" spans="1:24" ht="25" customHeight="1">
      <c r="A20" s="18" t="s">
        <v>40</v>
      </c>
      <c r="B20" s="18"/>
      <c r="C20" s="19"/>
      <c r="D20" s="18"/>
      <c r="E20" s="19"/>
      <c r="F20" s="18"/>
      <c r="G20" s="18"/>
      <c r="H20" s="7">
        <f>SUM(H4:H19)</f>
        <v>0</v>
      </c>
      <c r="I20" s="7">
        <f>SUM(I4:I19)</f>
        <v>0</v>
      </c>
      <c r="J20" s="7">
        <f>SUM(J4:J19)</f>
        <v>0</v>
      </c>
      <c r="K20" s="8">
        <f>SUM(K4:K19)</f>
        <v>0.78124999999999989</v>
      </c>
      <c r="L20" s="7"/>
      <c r="M20" s="7">
        <f t="shared" ref="M20:T20" si="0">SUM(M4:M19)</f>
        <v>21</v>
      </c>
      <c r="N20" s="7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0.78124999999999989</v>
      </c>
      <c r="R20" s="8">
        <f t="shared" si="0"/>
        <v>0</v>
      </c>
      <c r="S20" s="8">
        <f t="shared" si="0"/>
        <v>0</v>
      </c>
      <c r="T20" s="8">
        <f t="shared" si="0"/>
        <v>0</v>
      </c>
      <c r="U20" s="7"/>
      <c r="V20" s="7"/>
      <c r="W20" s="8">
        <f>SUM(W4:W19)</f>
        <v>0</v>
      </c>
      <c r="X20" s="7"/>
    </row>
    <row r="21" spans="1:24" ht="25" customHeight="1">
      <c r="A21" s="20" t="s">
        <v>41</v>
      </c>
      <c r="B21" s="20"/>
      <c r="C21" s="21"/>
      <c r="D21" s="20"/>
      <c r="E21" s="21"/>
      <c r="F21" s="20"/>
      <c r="G21" s="20"/>
      <c r="H21" s="9">
        <v>0</v>
      </c>
      <c r="I21" s="9">
        <v>0</v>
      </c>
      <c r="J21" s="9">
        <v>0</v>
      </c>
      <c r="K21" s="10">
        <v>27.59513888888889</v>
      </c>
      <c r="L21" s="9"/>
      <c r="M21" s="9">
        <v>1242</v>
      </c>
      <c r="N21" s="9">
        <v>0</v>
      </c>
      <c r="O21" s="10">
        <v>0</v>
      </c>
      <c r="P21" s="10">
        <v>0</v>
      </c>
      <c r="Q21" s="10">
        <v>23.433333333333334</v>
      </c>
      <c r="R21" s="10">
        <v>0</v>
      </c>
      <c r="S21" s="10">
        <v>3.7493055555555554</v>
      </c>
      <c r="T21" s="10">
        <v>0.41597222222222224</v>
      </c>
      <c r="U21" s="9"/>
      <c r="V21" s="9"/>
      <c r="W21" s="10">
        <v>0</v>
      </c>
      <c r="X21" s="9"/>
    </row>
    <row r="22" spans="1:24" ht="25" customHeight="1">
      <c r="A22" s="22" t="s">
        <v>42</v>
      </c>
      <c r="B22" s="22"/>
      <c r="C22" s="23"/>
      <c r="D22" s="22"/>
      <c r="E22" s="23"/>
      <c r="F22" s="22"/>
      <c r="G22" s="22"/>
      <c r="H22" s="11">
        <f>H20+H21</f>
        <v>0</v>
      </c>
      <c r="I22" s="11">
        <f>I20+I21</f>
        <v>0</v>
      </c>
      <c r="J22" s="11">
        <f>J20+J21</f>
        <v>0</v>
      </c>
      <c r="K22" s="12">
        <f>K20+K21</f>
        <v>28.37638888888889</v>
      </c>
      <c r="L22" s="11"/>
      <c r="M22" s="11">
        <f t="shared" ref="M22:T22" si="1">M20+M21</f>
        <v>1263</v>
      </c>
      <c r="N22" s="11">
        <f t="shared" si="1"/>
        <v>0</v>
      </c>
      <c r="O22" s="12">
        <f t="shared" si="1"/>
        <v>0</v>
      </c>
      <c r="P22" s="12">
        <f t="shared" si="1"/>
        <v>0</v>
      </c>
      <c r="Q22" s="12">
        <f t="shared" si="1"/>
        <v>24.214583333333334</v>
      </c>
      <c r="R22" s="12">
        <f t="shared" si="1"/>
        <v>0</v>
      </c>
      <c r="S22" s="12">
        <f t="shared" si="1"/>
        <v>3.7493055555555554</v>
      </c>
      <c r="T22" s="12">
        <f t="shared" si="1"/>
        <v>0.41597222222222224</v>
      </c>
      <c r="U22" s="11"/>
      <c r="V22" s="11"/>
      <c r="W22" s="12">
        <f>W20+W21</f>
        <v>0</v>
      </c>
      <c r="X22" s="11"/>
    </row>
    <row r="24" spans="1:24" ht="28" customHeight="1">
      <c r="A24" s="24" t="s">
        <v>60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</sheetData>
  <mergeCells count="25">
    <mergeCell ref="D1:E1"/>
    <mergeCell ref="F1:G1"/>
    <mergeCell ref="H1:J1"/>
    <mergeCell ref="M1:N1"/>
    <mergeCell ref="O1:P1"/>
    <mergeCell ref="Q1:T1"/>
    <mergeCell ref="U1:W1"/>
    <mergeCell ref="A2:A3"/>
    <mergeCell ref="B2:C2"/>
    <mergeCell ref="D2:E2"/>
    <mergeCell ref="F2:G2"/>
    <mergeCell ref="H2:I2"/>
    <mergeCell ref="J2:J3"/>
    <mergeCell ref="K2:K3"/>
    <mergeCell ref="L2:L3"/>
    <mergeCell ref="M2:N2"/>
    <mergeCell ref="O2:P2"/>
    <mergeCell ref="Q2:T2"/>
    <mergeCell ref="U2:W2"/>
    <mergeCell ref="B1:C1"/>
    <mergeCell ref="X2:X3"/>
    <mergeCell ref="A20:G20"/>
    <mergeCell ref="A21:G21"/>
    <mergeCell ref="A22:G22"/>
    <mergeCell ref="A24:X24"/>
  </mergeCells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4"/>
  <sheetViews>
    <sheetView showGridLines="0" zoomScale="130" zoomScaleNormal="130" workbookViewId="0">
      <selection activeCell="X35" sqref="X35"/>
    </sheetView>
  </sheetViews>
  <sheetFormatPr baseColWidth="10" defaultColWidth="8.83203125" defaultRowHeight="14"/>
  <cols>
    <col min="1" max="1" width="11" customWidth="1"/>
    <col min="2" max="2" width="10" customWidth="1"/>
    <col min="3" max="3" width="8" customWidth="1"/>
    <col min="4" max="4" width="10" customWidth="1"/>
    <col min="5" max="5" width="8" customWidth="1"/>
    <col min="6" max="6" width="13" customWidth="1"/>
    <col min="7" max="7" width="11" customWidth="1"/>
    <col min="8" max="9" width="6" customWidth="1"/>
    <col min="10" max="10" width="7" customWidth="1"/>
    <col min="11" max="11" width="9" customWidth="1"/>
    <col min="12" max="12" width="14" customWidth="1"/>
    <col min="13" max="16" width="7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24" customWidth="1"/>
  </cols>
  <sheetData>
    <row r="1" spans="1:24" ht="15" customHeight="1">
      <c r="A1" s="2" t="s">
        <v>0</v>
      </c>
      <c r="B1" s="26" t="s">
        <v>1</v>
      </c>
      <c r="C1" s="26" t="s">
        <v>1</v>
      </c>
      <c r="D1" s="26" t="s">
        <v>2</v>
      </c>
      <c r="E1" s="26" t="s">
        <v>2</v>
      </c>
      <c r="F1" s="26" t="s">
        <v>3</v>
      </c>
      <c r="G1" s="26" t="s">
        <v>3</v>
      </c>
      <c r="H1" s="26" t="s">
        <v>4</v>
      </c>
      <c r="I1" s="26" t="s">
        <v>4</v>
      </c>
      <c r="J1" s="26" t="s">
        <v>4</v>
      </c>
      <c r="K1" s="2" t="s">
        <v>5</v>
      </c>
      <c r="L1" s="2" t="s">
        <v>6</v>
      </c>
      <c r="M1" s="26" t="s">
        <v>7</v>
      </c>
      <c r="N1" s="26" t="s">
        <v>7</v>
      </c>
      <c r="O1" s="26" t="s">
        <v>8</v>
      </c>
      <c r="P1" s="26" t="s">
        <v>8</v>
      </c>
      <c r="Q1" s="26" t="s">
        <v>9</v>
      </c>
      <c r="R1" s="26" t="s">
        <v>9</v>
      </c>
      <c r="S1" s="26" t="s">
        <v>9</v>
      </c>
      <c r="T1" s="26" t="s">
        <v>9</v>
      </c>
      <c r="U1" s="26" t="s">
        <v>10</v>
      </c>
      <c r="V1" s="26" t="s">
        <v>10</v>
      </c>
      <c r="W1" s="26" t="s">
        <v>10</v>
      </c>
      <c r="X1" s="2" t="s">
        <v>11</v>
      </c>
    </row>
    <row r="2" spans="1:24" ht="30" customHeight="1">
      <c r="A2" s="17" t="s">
        <v>12</v>
      </c>
      <c r="B2" s="17" t="s">
        <v>13</v>
      </c>
      <c r="C2" s="17" t="s">
        <v>13</v>
      </c>
      <c r="D2" s="17" t="s">
        <v>14</v>
      </c>
      <c r="E2" s="17" t="s">
        <v>14</v>
      </c>
      <c r="F2" s="17" t="s">
        <v>15</v>
      </c>
      <c r="G2" s="17" t="s">
        <v>15</v>
      </c>
      <c r="H2" s="17" t="s">
        <v>16</v>
      </c>
      <c r="I2" s="17" t="s">
        <v>16</v>
      </c>
      <c r="J2" s="17" t="s">
        <v>17</v>
      </c>
      <c r="K2" s="17" t="s">
        <v>18</v>
      </c>
      <c r="L2" s="17" t="s">
        <v>19</v>
      </c>
      <c r="M2" s="17" t="s">
        <v>20</v>
      </c>
      <c r="N2" s="17" t="s">
        <v>20</v>
      </c>
      <c r="O2" s="17" t="s">
        <v>21</v>
      </c>
      <c r="P2" s="17" t="s">
        <v>21</v>
      </c>
      <c r="Q2" s="17" t="s">
        <v>22</v>
      </c>
      <c r="R2" s="17" t="s">
        <v>22</v>
      </c>
      <c r="S2" s="17" t="s">
        <v>22</v>
      </c>
      <c r="T2" s="17" t="s">
        <v>22</v>
      </c>
      <c r="U2" s="17" t="s">
        <v>23</v>
      </c>
      <c r="V2" s="17" t="s">
        <v>23</v>
      </c>
      <c r="W2" s="17" t="s">
        <v>23</v>
      </c>
      <c r="X2" s="17" t="s">
        <v>24</v>
      </c>
    </row>
    <row r="3" spans="1:24" ht="34" customHeight="1">
      <c r="A3" s="17" t="s">
        <v>12</v>
      </c>
      <c r="B3" s="1" t="s">
        <v>25</v>
      </c>
      <c r="C3" s="1" t="s">
        <v>26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7"/>
      <c r="K3" s="17"/>
      <c r="L3" s="17"/>
      <c r="M3" s="1" t="s">
        <v>31</v>
      </c>
      <c r="N3" s="1" t="s">
        <v>32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12</v>
      </c>
      <c r="V3" s="1" t="s">
        <v>38</v>
      </c>
      <c r="W3" s="1" t="s">
        <v>39</v>
      </c>
      <c r="X3" s="17"/>
    </row>
    <row r="4" spans="1:24" ht="20" customHeight="1">
      <c r="A4" s="5">
        <v>45171</v>
      </c>
      <c r="B4" s="13" t="s">
        <v>58</v>
      </c>
      <c r="C4" s="14">
        <v>0.47222222222222221</v>
      </c>
      <c r="D4" s="13" t="s">
        <v>58</v>
      </c>
      <c r="E4" s="14">
        <v>0.4826388888888889</v>
      </c>
      <c r="F4" s="13" t="s">
        <v>51</v>
      </c>
      <c r="G4" s="13" t="s">
        <v>83</v>
      </c>
      <c r="H4" s="3" t="s">
        <v>47</v>
      </c>
      <c r="I4" s="3">
        <v>0</v>
      </c>
      <c r="J4" s="3">
        <v>0</v>
      </c>
      <c r="K4" s="6">
        <v>1.0416666666666666E-2</v>
      </c>
      <c r="L4" s="3" t="s">
        <v>48</v>
      </c>
      <c r="M4" s="3">
        <v>1</v>
      </c>
      <c r="N4" s="3">
        <v>0</v>
      </c>
      <c r="O4" s="6">
        <v>0</v>
      </c>
      <c r="P4" s="6">
        <v>0</v>
      </c>
      <c r="Q4" s="6">
        <v>1.0416666666666666E-2</v>
      </c>
      <c r="R4" s="6">
        <v>0</v>
      </c>
      <c r="S4" s="6">
        <v>0</v>
      </c>
      <c r="T4" s="6">
        <v>0</v>
      </c>
      <c r="U4" s="5"/>
      <c r="V4" s="3"/>
      <c r="W4" s="6">
        <v>0</v>
      </c>
      <c r="X4" s="4" t="s">
        <v>59</v>
      </c>
    </row>
    <row r="5" spans="1:24" ht="20" customHeight="1">
      <c r="A5" s="5">
        <v>45172</v>
      </c>
      <c r="B5" s="13" t="s">
        <v>58</v>
      </c>
      <c r="C5" s="14">
        <v>0.51041666666666663</v>
      </c>
      <c r="D5" s="13" t="s">
        <v>57</v>
      </c>
      <c r="E5" s="14">
        <v>0.56597222222222221</v>
      </c>
      <c r="F5" s="13" t="s">
        <v>51</v>
      </c>
      <c r="G5" s="13" t="s">
        <v>83</v>
      </c>
      <c r="H5" s="3" t="s">
        <v>47</v>
      </c>
      <c r="I5" s="3">
        <v>0</v>
      </c>
      <c r="J5" s="3">
        <v>0</v>
      </c>
      <c r="K5" s="6">
        <v>5.5555555555555552E-2</v>
      </c>
      <c r="L5" s="3" t="s">
        <v>48</v>
      </c>
      <c r="M5" s="3">
        <v>1</v>
      </c>
      <c r="N5" s="3">
        <v>0</v>
      </c>
      <c r="O5" s="6">
        <v>0</v>
      </c>
      <c r="P5" s="6">
        <v>0</v>
      </c>
      <c r="Q5" s="6">
        <v>5.5555555555555552E-2</v>
      </c>
      <c r="R5" s="6">
        <v>0</v>
      </c>
      <c r="S5" s="6">
        <v>0</v>
      </c>
      <c r="T5" s="6">
        <v>0</v>
      </c>
      <c r="U5" s="5"/>
      <c r="V5" s="3"/>
      <c r="W5" s="6">
        <v>0</v>
      </c>
      <c r="X5" s="4"/>
    </row>
    <row r="6" spans="1:24" ht="20" customHeight="1">
      <c r="A6" s="5">
        <v>45172</v>
      </c>
      <c r="B6" s="13" t="s">
        <v>57</v>
      </c>
      <c r="C6" s="14">
        <v>0.3611111111111111</v>
      </c>
      <c r="D6" s="13" t="s">
        <v>61</v>
      </c>
      <c r="E6" s="14">
        <v>0.4513888888888889</v>
      </c>
      <c r="F6" s="13" t="s">
        <v>51</v>
      </c>
      <c r="G6" s="13" t="s">
        <v>83</v>
      </c>
      <c r="H6" s="3" t="s">
        <v>47</v>
      </c>
      <c r="I6" s="3">
        <v>0</v>
      </c>
      <c r="J6" s="3">
        <v>0</v>
      </c>
      <c r="K6" s="6">
        <v>9.0277777777777776E-2</v>
      </c>
      <c r="L6" s="3" t="s">
        <v>48</v>
      </c>
      <c r="M6" s="3">
        <v>1</v>
      </c>
      <c r="N6" s="3">
        <v>0</v>
      </c>
      <c r="O6" s="6">
        <v>0</v>
      </c>
      <c r="P6" s="6">
        <v>0</v>
      </c>
      <c r="Q6" s="6">
        <v>9.0277777777777776E-2</v>
      </c>
      <c r="R6" s="6">
        <v>0</v>
      </c>
      <c r="S6" s="6">
        <v>0</v>
      </c>
      <c r="T6" s="6">
        <v>0</v>
      </c>
      <c r="U6" s="5"/>
      <c r="V6" s="3"/>
      <c r="W6" s="6">
        <v>0</v>
      </c>
      <c r="X6" s="4"/>
    </row>
    <row r="7" spans="1:24" ht="20" customHeight="1">
      <c r="A7" s="5">
        <v>45173</v>
      </c>
      <c r="B7" s="13" t="s">
        <v>61</v>
      </c>
      <c r="C7" s="14">
        <v>0.53125</v>
      </c>
      <c r="D7" s="13" t="s">
        <v>49</v>
      </c>
      <c r="E7" s="14">
        <v>0.625</v>
      </c>
      <c r="F7" s="13" t="s">
        <v>51</v>
      </c>
      <c r="G7" s="13" t="s">
        <v>83</v>
      </c>
      <c r="H7" s="3" t="s">
        <v>47</v>
      </c>
      <c r="I7" s="3">
        <v>0</v>
      </c>
      <c r="J7" s="3">
        <v>0</v>
      </c>
      <c r="K7" s="6">
        <v>9.375E-2</v>
      </c>
      <c r="L7" s="3" t="s">
        <v>48</v>
      </c>
      <c r="M7" s="3">
        <v>1</v>
      </c>
      <c r="N7" s="3">
        <v>0</v>
      </c>
      <c r="O7" s="6">
        <v>0</v>
      </c>
      <c r="P7" s="6">
        <v>0</v>
      </c>
      <c r="Q7" s="6">
        <v>9.375E-2</v>
      </c>
      <c r="R7" s="6">
        <v>0</v>
      </c>
      <c r="S7" s="6">
        <v>0</v>
      </c>
      <c r="T7" s="6">
        <v>0</v>
      </c>
      <c r="U7" s="5"/>
      <c r="V7" s="3"/>
      <c r="W7" s="6">
        <v>0</v>
      </c>
      <c r="X7" s="4"/>
    </row>
    <row r="8" spans="1:24" ht="20" customHeight="1">
      <c r="A8" s="5">
        <v>45173</v>
      </c>
      <c r="B8" s="13" t="s">
        <v>49</v>
      </c>
      <c r="C8" s="14">
        <v>0.74305555555555558</v>
      </c>
      <c r="D8" s="13" t="s">
        <v>62</v>
      </c>
      <c r="E8" s="14">
        <v>0.76041666666666663</v>
      </c>
      <c r="F8" s="13" t="s">
        <v>51</v>
      </c>
      <c r="G8" s="13" t="s">
        <v>83</v>
      </c>
      <c r="H8" s="3" t="s">
        <v>47</v>
      </c>
      <c r="I8" s="3">
        <v>0</v>
      </c>
      <c r="J8" s="3">
        <v>0</v>
      </c>
      <c r="K8" s="6">
        <v>1.7361111111111112E-2</v>
      </c>
      <c r="L8" s="3" t="s">
        <v>48</v>
      </c>
      <c r="M8" s="3">
        <v>1</v>
      </c>
      <c r="N8" s="3">
        <v>0</v>
      </c>
      <c r="O8" s="6">
        <v>0</v>
      </c>
      <c r="P8" s="6">
        <v>0</v>
      </c>
      <c r="Q8" s="6">
        <v>1.7361111111111112E-2</v>
      </c>
      <c r="R8" s="6">
        <v>0</v>
      </c>
      <c r="S8" s="6">
        <v>0</v>
      </c>
      <c r="T8" s="6">
        <v>0</v>
      </c>
      <c r="U8" s="5"/>
      <c r="V8" s="3"/>
      <c r="W8" s="6">
        <v>0</v>
      </c>
      <c r="X8" s="4"/>
    </row>
    <row r="9" spans="1:24" ht="20" customHeight="1">
      <c r="A9" s="5">
        <v>45181</v>
      </c>
      <c r="B9" s="13" t="s">
        <v>62</v>
      </c>
      <c r="C9" s="14">
        <v>0.65277777777777779</v>
      </c>
      <c r="D9" s="13" t="s">
        <v>49</v>
      </c>
      <c r="E9" s="14">
        <v>0.66319444444444442</v>
      </c>
      <c r="F9" s="13" t="s">
        <v>51</v>
      </c>
      <c r="G9" s="13" t="s">
        <v>83</v>
      </c>
      <c r="H9" s="3" t="s">
        <v>47</v>
      </c>
      <c r="I9" s="3">
        <v>0</v>
      </c>
      <c r="J9" s="3">
        <v>0</v>
      </c>
      <c r="K9" s="6">
        <v>1.0416666666666666E-2</v>
      </c>
      <c r="L9" s="3" t="s">
        <v>48</v>
      </c>
      <c r="M9" s="3">
        <v>1</v>
      </c>
      <c r="N9" s="3">
        <v>0</v>
      </c>
      <c r="O9" s="6">
        <v>0</v>
      </c>
      <c r="P9" s="6">
        <v>0</v>
      </c>
      <c r="Q9" s="6">
        <v>1.0416666666666666E-2</v>
      </c>
      <c r="R9" s="6">
        <v>0</v>
      </c>
      <c r="S9" s="6">
        <v>0</v>
      </c>
      <c r="T9" s="6">
        <v>0</v>
      </c>
      <c r="U9" s="5"/>
      <c r="V9" s="3"/>
      <c r="W9" s="6">
        <v>0</v>
      </c>
      <c r="X9" s="4"/>
    </row>
    <row r="10" spans="1:24" ht="20" customHeight="1">
      <c r="A10" s="5">
        <v>45242</v>
      </c>
      <c r="B10" s="13" t="s">
        <v>49</v>
      </c>
      <c r="C10" s="14">
        <v>0.38194444444444442</v>
      </c>
      <c r="D10" s="13" t="s">
        <v>49</v>
      </c>
      <c r="E10" s="14">
        <v>0.43055555555555558</v>
      </c>
      <c r="F10" s="13" t="s">
        <v>51</v>
      </c>
      <c r="G10" s="13" t="s">
        <v>83</v>
      </c>
      <c r="H10" s="3" t="s">
        <v>47</v>
      </c>
      <c r="I10" s="3">
        <v>0</v>
      </c>
      <c r="J10" s="3">
        <v>0</v>
      </c>
      <c r="K10" s="6">
        <v>4.8611111111111112E-2</v>
      </c>
      <c r="L10" s="3" t="s">
        <v>63</v>
      </c>
      <c r="M10" s="3">
        <v>4</v>
      </c>
      <c r="N10" s="3">
        <v>0</v>
      </c>
      <c r="O10" s="6">
        <v>0</v>
      </c>
      <c r="P10" s="6">
        <v>0</v>
      </c>
      <c r="Q10" s="6">
        <v>0</v>
      </c>
      <c r="R10" s="6">
        <v>0</v>
      </c>
      <c r="S10" s="6">
        <v>4.8611111111111112E-2</v>
      </c>
      <c r="T10" s="6">
        <v>0</v>
      </c>
      <c r="U10" s="5"/>
      <c r="V10" s="3"/>
      <c r="W10" s="6">
        <v>0</v>
      </c>
      <c r="X10" s="4" t="s">
        <v>64</v>
      </c>
    </row>
    <row r="11" spans="1:24" ht="20" customHeight="1">
      <c r="A11" s="5"/>
      <c r="B11" s="3"/>
      <c r="C11" s="6"/>
      <c r="D11" s="3"/>
      <c r="E11" s="6"/>
      <c r="F11" s="3"/>
      <c r="G11" s="3"/>
      <c r="H11" s="3"/>
      <c r="I11" s="3"/>
      <c r="J11" s="3"/>
      <c r="K11" s="6"/>
      <c r="L11" s="3"/>
      <c r="M11" s="3"/>
      <c r="N11" s="3"/>
      <c r="O11" s="6"/>
      <c r="P11" s="6"/>
      <c r="Q11" s="6"/>
      <c r="R11" s="6"/>
      <c r="S11" s="6"/>
      <c r="T11" s="6"/>
      <c r="U11" s="5"/>
      <c r="V11" s="3"/>
      <c r="W11" s="6"/>
      <c r="X11" s="4"/>
    </row>
    <row r="12" spans="1:24" ht="20" customHeight="1">
      <c r="A12" s="5"/>
      <c r="B12" s="3"/>
      <c r="C12" s="6"/>
      <c r="D12" s="3"/>
      <c r="E12" s="6"/>
      <c r="F12" s="3"/>
      <c r="G12" s="3"/>
      <c r="H12" s="3"/>
      <c r="I12" s="3"/>
      <c r="J12" s="3"/>
      <c r="K12" s="6"/>
      <c r="L12" s="3"/>
      <c r="M12" s="3"/>
      <c r="N12" s="3"/>
      <c r="O12" s="6"/>
      <c r="P12" s="6"/>
      <c r="Q12" s="6"/>
      <c r="R12" s="6"/>
      <c r="S12" s="6"/>
      <c r="T12" s="6"/>
      <c r="U12" s="5"/>
      <c r="V12" s="3"/>
      <c r="W12" s="6"/>
      <c r="X12" s="4"/>
    </row>
    <row r="13" spans="1:24" ht="20" customHeight="1">
      <c r="A13" s="5"/>
      <c r="B13" s="3"/>
      <c r="C13" s="6"/>
      <c r="D13" s="3"/>
      <c r="E13" s="6"/>
      <c r="F13" s="3"/>
      <c r="G13" s="3"/>
      <c r="H13" s="3"/>
      <c r="I13" s="3"/>
      <c r="J13" s="3"/>
      <c r="K13" s="6"/>
      <c r="L13" s="3"/>
      <c r="M13" s="3"/>
      <c r="N13" s="3"/>
      <c r="O13" s="6"/>
      <c r="P13" s="6"/>
      <c r="Q13" s="6"/>
      <c r="R13" s="6"/>
      <c r="S13" s="6"/>
      <c r="T13" s="6"/>
      <c r="U13" s="5"/>
      <c r="V13" s="3"/>
      <c r="W13" s="6"/>
      <c r="X13" s="4"/>
    </row>
    <row r="14" spans="1:24" ht="20" customHeight="1">
      <c r="A14" s="5"/>
      <c r="B14" s="3"/>
      <c r="C14" s="6"/>
      <c r="D14" s="3"/>
      <c r="E14" s="6"/>
      <c r="F14" s="3"/>
      <c r="G14" s="3"/>
      <c r="H14" s="3"/>
      <c r="I14" s="3"/>
      <c r="J14" s="3"/>
      <c r="K14" s="6"/>
      <c r="L14" s="3"/>
      <c r="M14" s="3"/>
      <c r="N14" s="3"/>
      <c r="O14" s="6"/>
      <c r="P14" s="6"/>
      <c r="Q14" s="6"/>
      <c r="R14" s="6"/>
      <c r="S14" s="6"/>
      <c r="T14" s="6"/>
      <c r="U14" s="5"/>
      <c r="V14" s="3"/>
      <c r="W14" s="6"/>
      <c r="X14" s="4"/>
    </row>
    <row r="15" spans="1:24" ht="20" customHeight="1">
      <c r="A15" s="5"/>
      <c r="B15" s="3"/>
      <c r="C15" s="6"/>
      <c r="D15" s="3"/>
      <c r="E15" s="6"/>
      <c r="F15" s="3"/>
      <c r="G15" s="3"/>
      <c r="H15" s="3"/>
      <c r="I15" s="3"/>
      <c r="J15" s="3"/>
      <c r="K15" s="6"/>
      <c r="L15" s="3"/>
      <c r="M15" s="3"/>
      <c r="N15" s="3"/>
      <c r="O15" s="6"/>
      <c r="P15" s="6"/>
      <c r="Q15" s="6"/>
      <c r="R15" s="6"/>
      <c r="S15" s="6"/>
      <c r="T15" s="6"/>
      <c r="U15" s="5"/>
      <c r="V15" s="3"/>
      <c r="W15" s="6"/>
      <c r="X15" s="4"/>
    </row>
    <row r="16" spans="1:24" ht="20" customHeight="1">
      <c r="A16" s="5"/>
      <c r="B16" s="3"/>
      <c r="C16" s="6"/>
      <c r="D16" s="3"/>
      <c r="E16" s="6"/>
      <c r="F16" s="3"/>
      <c r="G16" s="3"/>
      <c r="H16" s="3"/>
      <c r="I16" s="3"/>
      <c r="J16" s="3"/>
      <c r="K16" s="6"/>
      <c r="L16" s="3"/>
      <c r="M16" s="3"/>
      <c r="N16" s="3"/>
      <c r="O16" s="6"/>
      <c r="P16" s="6"/>
      <c r="Q16" s="6"/>
      <c r="R16" s="6"/>
      <c r="S16" s="6"/>
      <c r="T16" s="6"/>
      <c r="U16" s="5"/>
      <c r="V16" s="3"/>
      <c r="W16" s="6"/>
      <c r="X16" s="4"/>
    </row>
    <row r="17" spans="1:24" ht="20" customHeight="1">
      <c r="A17" s="5"/>
      <c r="B17" s="3"/>
      <c r="C17" s="6"/>
      <c r="D17" s="3"/>
      <c r="E17" s="6"/>
      <c r="F17" s="3"/>
      <c r="G17" s="3"/>
      <c r="H17" s="3"/>
      <c r="I17" s="3"/>
      <c r="J17" s="3"/>
      <c r="K17" s="6"/>
      <c r="L17" s="3"/>
      <c r="M17" s="3"/>
      <c r="N17" s="3"/>
      <c r="O17" s="6"/>
      <c r="P17" s="6"/>
      <c r="Q17" s="6"/>
      <c r="R17" s="6"/>
      <c r="S17" s="6"/>
      <c r="T17" s="6"/>
      <c r="U17" s="5"/>
      <c r="V17" s="3"/>
      <c r="W17" s="6"/>
      <c r="X17" s="4"/>
    </row>
    <row r="18" spans="1:24" ht="20" customHeight="1">
      <c r="A18" s="5"/>
      <c r="B18" s="3"/>
      <c r="C18" s="6"/>
      <c r="D18" s="3"/>
      <c r="E18" s="6"/>
      <c r="F18" s="3"/>
      <c r="G18" s="3"/>
      <c r="H18" s="3"/>
      <c r="I18" s="3"/>
      <c r="J18" s="3"/>
      <c r="K18" s="6"/>
      <c r="L18" s="3"/>
      <c r="M18" s="3"/>
      <c r="N18" s="3"/>
      <c r="O18" s="6"/>
      <c r="P18" s="6"/>
      <c r="Q18" s="6"/>
      <c r="R18" s="6"/>
      <c r="S18" s="6"/>
      <c r="T18" s="6"/>
      <c r="U18" s="5"/>
      <c r="V18" s="3"/>
      <c r="W18" s="6"/>
      <c r="X18" s="4"/>
    </row>
    <row r="19" spans="1:24" ht="20" customHeight="1">
      <c r="A19" s="5"/>
      <c r="B19" s="3"/>
      <c r="C19" s="6"/>
      <c r="D19" s="3"/>
      <c r="E19" s="6"/>
      <c r="F19" s="3"/>
      <c r="G19" s="3"/>
      <c r="H19" s="3"/>
      <c r="I19" s="3"/>
      <c r="J19" s="3"/>
      <c r="K19" s="6"/>
      <c r="L19" s="3"/>
      <c r="M19" s="3"/>
      <c r="N19" s="3"/>
      <c r="O19" s="6"/>
      <c r="P19" s="6"/>
      <c r="Q19" s="6"/>
      <c r="R19" s="6"/>
      <c r="S19" s="6"/>
      <c r="T19" s="6"/>
      <c r="U19" s="5"/>
      <c r="V19" s="3"/>
      <c r="W19" s="6"/>
      <c r="X19" s="4"/>
    </row>
    <row r="20" spans="1:24" ht="25" customHeight="1">
      <c r="A20" s="18" t="s">
        <v>40</v>
      </c>
      <c r="B20" s="18"/>
      <c r="C20" s="19"/>
      <c r="D20" s="18"/>
      <c r="E20" s="19"/>
      <c r="F20" s="18"/>
      <c r="G20" s="18"/>
      <c r="H20" s="7">
        <f>SUM(H4:H19)</f>
        <v>0</v>
      </c>
      <c r="I20" s="7">
        <f>SUM(I4:I19)</f>
        <v>0</v>
      </c>
      <c r="J20" s="7">
        <f>SUM(J4:J19)</f>
        <v>0</v>
      </c>
      <c r="K20" s="8">
        <f>SUM(K4:K19)</f>
        <v>0.3263888888888889</v>
      </c>
      <c r="L20" s="7"/>
      <c r="M20" s="7">
        <f t="shared" ref="M20:T20" si="0">SUM(M4:M19)</f>
        <v>10</v>
      </c>
      <c r="N20" s="7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0.27777777777777779</v>
      </c>
      <c r="R20" s="8">
        <f t="shared" si="0"/>
        <v>0</v>
      </c>
      <c r="S20" s="8">
        <f t="shared" si="0"/>
        <v>4.8611111111111112E-2</v>
      </c>
      <c r="T20" s="8">
        <f t="shared" si="0"/>
        <v>0</v>
      </c>
      <c r="U20" s="7"/>
      <c r="V20" s="7"/>
      <c r="W20" s="8">
        <f>SUM(W4:W19)</f>
        <v>0</v>
      </c>
      <c r="X20" s="7"/>
    </row>
    <row r="21" spans="1:24" ht="25" customHeight="1">
      <c r="A21" s="20" t="s">
        <v>41</v>
      </c>
      <c r="B21" s="20"/>
      <c r="C21" s="21"/>
      <c r="D21" s="20"/>
      <c r="E21" s="21"/>
      <c r="F21" s="20"/>
      <c r="G21" s="20"/>
      <c r="H21" s="9">
        <v>0</v>
      </c>
      <c r="I21" s="9">
        <v>0</v>
      </c>
      <c r="J21" s="9">
        <v>0</v>
      </c>
      <c r="K21" s="10">
        <v>28.397222222222222</v>
      </c>
      <c r="L21" s="9"/>
      <c r="M21" s="9">
        <v>1263</v>
      </c>
      <c r="N21" s="9">
        <v>0</v>
      </c>
      <c r="O21" s="10">
        <v>0</v>
      </c>
      <c r="P21" s="10">
        <v>0</v>
      </c>
      <c r="Q21" s="10">
        <v>24.235416666666666</v>
      </c>
      <c r="R21" s="10">
        <v>0</v>
      </c>
      <c r="S21" s="10">
        <v>3.7493055555555554</v>
      </c>
      <c r="T21" s="10">
        <v>0.41597222222222224</v>
      </c>
      <c r="U21" s="9"/>
      <c r="V21" s="9"/>
      <c r="W21" s="10">
        <v>0</v>
      </c>
      <c r="X21" s="9"/>
    </row>
    <row r="22" spans="1:24" ht="25" customHeight="1">
      <c r="A22" s="22" t="s">
        <v>42</v>
      </c>
      <c r="B22" s="22"/>
      <c r="C22" s="23"/>
      <c r="D22" s="22"/>
      <c r="E22" s="23"/>
      <c r="F22" s="22"/>
      <c r="G22" s="22"/>
      <c r="H22" s="11">
        <f>H20+H21</f>
        <v>0</v>
      </c>
      <c r="I22" s="11">
        <f>I20+I21</f>
        <v>0</v>
      </c>
      <c r="J22" s="11">
        <f>J20+J21</f>
        <v>0</v>
      </c>
      <c r="K22" s="12">
        <f>K20+K21</f>
        <v>28.723611111111111</v>
      </c>
      <c r="L22" s="11"/>
      <c r="M22" s="11">
        <f t="shared" ref="M22:T22" si="1">M20+M21</f>
        <v>1273</v>
      </c>
      <c r="N22" s="11">
        <f t="shared" si="1"/>
        <v>0</v>
      </c>
      <c r="O22" s="12">
        <f t="shared" si="1"/>
        <v>0</v>
      </c>
      <c r="P22" s="12">
        <f t="shared" si="1"/>
        <v>0</v>
      </c>
      <c r="Q22" s="12">
        <f t="shared" si="1"/>
        <v>24.513194444444444</v>
      </c>
      <c r="R22" s="12">
        <f t="shared" si="1"/>
        <v>0</v>
      </c>
      <c r="S22" s="12">
        <f t="shared" si="1"/>
        <v>3.7979166666666666</v>
      </c>
      <c r="T22" s="12">
        <f t="shared" si="1"/>
        <v>0.41597222222222224</v>
      </c>
      <c r="U22" s="11"/>
      <c r="V22" s="11"/>
      <c r="W22" s="12">
        <f>W20+W21</f>
        <v>0</v>
      </c>
      <c r="X22" s="11"/>
    </row>
    <row r="24" spans="1:24" ht="28" customHeight="1">
      <c r="A24" s="24" t="s">
        <v>65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</sheetData>
  <mergeCells count="25">
    <mergeCell ref="D1:E1"/>
    <mergeCell ref="F1:G1"/>
    <mergeCell ref="H1:J1"/>
    <mergeCell ref="M1:N1"/>
    <mergeCell ref="O1:P1"/>
    <mergeCell ref="Q1:T1"/>
    <mergeCell ref="U1:W1"/>
    <mergeCell ref="A2:A3"/>
    <mergeCell ref="B2:C2"/>
    <mergeCell ref="D2:E2"/>
    <mergeCell ref="F2:G2"/>
    <mergeCell ref="H2:I2"/>
    <mergeCell ref="J2:J3"/>
    <mergeCell ref="K2:K3"/>
    <mergeCell ref="L2:L3"/>
    <mergeCell ref="M2:N2"/>
    <mergeCell ref="O2:P2"/>
    <mergeCell ref="Q2:T2"/>
    <mergeCell ref="U2:W2"/>
    <mergeCell ref="B1:C1"/>
    <mergeCell ref="X2:X3"/>
    <mergeCell ref="A20:G20"/>
    <mergeCell ref="A21:G21"/>
    <mergeCell ref="A22:G22"/>
    <mergeCell ref="A24:X24"/>
  </mergeCells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8"/>
  <sheetViews>
    <sheetView showGridLines="0" workbookViewId="0">
      <selection sqref="A1:F1"/>
    </sheetView>
  </sheetViews>
  <sheetFormatPr baseColWidth="10" defaultColWidth="8.83203125" defaultRowHeight="14"/>
  <cols>
    <col min="1" max="1" width="18" customWidth="1"/>
    <col min="2" max="2" width="75" customWidth="1"/>
  </cols>
  <sheetData>
    <row r="1" spans="1:6" ht="28" customHeight="1">
      <c r="A1" s="27" t="s">
        <v>66</v>
      </c>
      <c r="B1" s="27"/>
      <c r="C1" s="27"/>
      <c r="D1" s="27"/>
      <c r="E1" s="27"/>
      <c r="F1" s="27"/>
    </row>
    <row r="3" spans="1:6" ht="32" customHeight="1">
      <c r="A3" s="16" t="s">
        <v>67</v>
      </c>
      <c r="B3" s="15" t="s">
        <v>68</v>
      </c>
    </row>
    <row r="4" spans="1:6" ht="32" customHeight="1">
      <c r="A4" s="16" t="s">
        <v>69</v>
      </c>
      <c r="B4" s="15" t="s">
        <v>70</v>
      </c>
    </row>
    <row r="5" spans="1:6" ht="32" customHeight="1">
      <c r="A5" s="16" t="s">
        <v>71</v>
      </c>
      <c r="B5" s="15" t="s">
        <v>72</v>
      </c>
    </row>
    <row r="6" spans="1:6" ht="32" customHeight="1">
      <c r="A6" s="16" t="s">
        <v>73</v>
      </c>
      <c r="B6" s="15" t="s">
        <v>74</v>
      </c>
    </row>
    <row r="7" spans="1:6" ht="32" customHeight="1">
      <c r="A7" s="16" t="s">
        <v>75</v>
      </c>
      <c r="B7" s="15" t="s">
        <v>76</v>
      </c>
    </row>
    <row r="8" spans="1:6" ht="32" customHeight="1">
      <c r="A8" s="16" t="s">
        <v>77</v>
      </c>
      <c r="B8" s="15" t="s">
        <v>78</v>
      </c>
    </row>
  </sheetData>
  <mergeCells count="1">
    <mergeCell ref="A1:F1"/>
  </mergeCells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MODELLO PULITO</vt:lpstr>
      <vt:lpstr>Pag 108-109</vt:lpstr>
      <vt:lpstr>Pag 110-111</vt:lpstr>
      <vt:lpstr>Pag 112-113</vt:lpstr>
      <vt:lpstr>NOTE LETTURA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Mondani</cp:lastModifiedBy>
  <dcterms:created xsi:type="dcterms:W3CDTF">2026-08-31T15:44:18Z</dcterms:created>
  <dcterms:modified xsi:type="dcterms:W3CDTF">2026-08-31T15:44:18Z</dcterms:modified>
</cp:coreProperties>
</file>